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stupy" sheetId="1" state="visible" r:id="rId3"/>
    <sheet name="Metodika" sheetId="2" state="visible" r:id="rId4"/>
    <sheet name="Balíčky" sheetId="3" state="visible" r:id="rId5"/>
    <sheet name="Doplňky" sheetId="4" state="visible" r:id="rId6"/>
    <sheet name="Příplatky" sheetId="5" state="visible" r:id="rId7"/>
    <sheet name="Posádka" sheetId="6" state="visible" r:id="rId8"/>
    <sheet name="Ekonomika" sheetId="7" state="visible" r:id="rId9"/>
    <sheet name="Měsíc" sheetId="8" state="visible" r:id="rId10"/>
    <sheet name="Citlivost" sheetId="9" state="visible" r:id="rId11"/>
    <sheet name="Přecenění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<sst xmlns="http://schemas.openxmlformats.org/spreadsheetml/2006/main" count="360" uniqueCount="286">
  <si>
    <t xml:space="preserve">Cleansia – cenový model v3 (ceny se počítají, nezadávají)</t>
  </si>
  <si>
    <t xml:space="preserve">Modré buňky jsou vstupy. Ceny balíčků, doplňků i příplatků se dopočítají tak, aby uklízečka měla cílovou sazbu a platformě zbyl cílový příspěvek po DPH a všech ztrátách.</t>
  </si>
  <si>
    <t xml:space="preserve">1. Odměna uklízečky – vstup, ze kterého se počítá cena</t>
  </si>
  <si>
    <t xml:space="preserve">Cílová odměna uklízečky</t>
  </si>
  <si>
    <t xml:space="preserve">Kč/h</t>
  </si>
  <si>
    <t xml:space="preserve">Zadání JJ. Tohle je kotva celého ceníku.</t>
  </si>
  <si>
    <t xml:space="preserve">Je cíl čistý po jejích nákladech? (ANO/NE)</t>
  </si>
  <si>
    <t xml:space="preserve">NE</t>
  </si>
  <si>
    <t xml:space="preserve">NE = 300 Kč/h fakturuje a chemii s dopravou si z toho platí. ANO = 300 Kč/h jí zbude čistých a sazba se o náklady zvedne.</t>
  </si>
  <si>
    <t xml:space="preserve">Vlastní náklady uklízečky (chemie + doprava)</t>
  </si>
  <si>
    <t xml:space="preserve">Ceník v3: chemie 25 + doprava 40.</t>
  </si>
  <si>
    <t xml:space="preserve">Fakturovaná sazba uklízečky</t>
  </si>
  <si>
    <t xml:space="preserve">Tuto částku jí platíme za hodinu práce.</t>
  </si>
  <si>
    <t xml:space="preserve">Čistý výdělek uklízečky</t>
  </si>
  <si>
    <t xml:space="preserve">Co jí reálně zbude po vlastních nákladech.</t>
  </si>
  <si>
    <t xml:space="preserve">2. Cílová rentabilita platformy</t>
  </si>
  <si>
    <t xml:space="preserve">Cílový příspěvek na úhradu</t>
  </si>
  <si>
    <t xml:space="preserve">% z ceny</t>
  </si>
  <si>
    <t xml:space="preserve">Kolik z ceny má zbýt po DPH, poplatcích, slevách, stornech a marketingu. 18 % je konzervativní; 22–25 % je zdravější.</t>
  </si>
  <si>
    <t xml:space="preserve">Minimální cena zakázky</t>
  </si>
  <si>
    <t xml:space="preserve">Kč</t>
  </si>
  <si>
    <t xml:space="preserve">Pod tuto částku se zakázka neprodává – malé zakázky nepokryjí fixní náklady.</t>
  </si>
  <si>
    <t xml:space="preserve">Zaokrouhlení cen nahoru na</t>
  </si>
  <si>
    <t xml:space="preserve">Ceny se zaokrouhlují nahoru, nikdy dolů – dolů by shodilo cílovou marži.</t>
  </si>
  <si>
    <t xml:space="preserve">3. Pracnost úklidu</t>
  </si>
  <si>
    <t xml:space="preserve">Ceník v3</t>
  </si>
  <si>
    <t xml:space="preserve">Reálný odhad</t>
  </si>
  <si>
    <t xml:space="preserve">Standardní úklid</t>
  </si>
  <si>
    <t xml:space="preserve">min/m²</t>
  </si>
  <si>
    <t xml:space="preserve">1,2 min/m² = 2+kk za hodinu. V praxi neudržitelné.</t>
  </si>
  <si>
    <t xml:space="preserve">Deep clean</t>
  </si>
  <si>
    <t xml:space="preserve">5 min/m² = 90 m² za 7,5 h.</t>
  </si>
  <si>
    <t xml:space="preserve">Po rekonstrukci</t>
  </si>
  <si>
    <t xml:space="preserve">Nejvyšší rozptyl, ověřit na prvních zakázkách.</t>
  </si>
  <si>
    <t xml:space="preserve">Použít variantu (CENÍK / REÁL)</t>
  </si>
  <si>
    <t xml:space="preserve">REÁL</t>
  </si>
  <si>
    <t xml:space="preserve">Nejcitlivější přepínač v sešitě. Po prvních 20 zakázkách nahraď sloupec C měřenou skutečností.</t>
  </si>
  <si>
    <t xml:space="preserve">Aktivní pracnost – standard</t>
  </si>
  <si>
    <t xml:space="preserve">Aktivní pracnost – deep</t>
  </si>
  <si>
    <t xml:space="preserve">Aktivní pracnost – po rekonstrukci</t>
  </si>
  <si>
    <t xml:space="preserve">4. Ztráty a poplatky</t>
  </si>
  <si>
    <t xml:space="preserve">Stripe – procentní poplatek</t>
  </si>
  <si>
    <t xml:space="preserve">%</t>
  </si>
  <si>
    <t xml:space="preserve">Evropské karty. Mimoevropské 2,9 %+.</t>
  </si>
  <si>
    <t xml:space="preserve">Stripe – fixní poplatek</t>
  </si>
  <si>
    <t xml:space="preserve">Na transakci.</t>
  </si>
  <si>
    <t xml:space="preserve">Vážená sleva (Plus, tier, promo)</t>
  </si>
  <si>
    <t xml:space="preserve">Strop Plus + tier je 12 %, promokódy 10–20 %.</t>
  </si>
  <si>
    <t xml:space="preserve">Storna a refundace</t>
  </si>
  <si>
    <t xml:space="preserve">Reklamace a částečné refundace</t>
  </si>
  <si>
    <t xml:space="preserve">Odměna uklízečky se přitom nevrací.</t>
  </si>
  <si>
    <t xml:space="preserve">Chargebacky</t>
  </si>
  <si>
    <t xml:space="preserve">Pravděpodobnost neobsazené zakázky</t>
  </si>
  <si>
    <t xml:space="preserve">Plná refundace + garanční kredit.</t>
  </si>
  <si>
    <t xml:space="preserve">Garanční kredit za nedostavení</t>
  </si>
  <si>
    <t xml:space="preserve">Mike navrhuje až 500 Kč – zkus si přepsat a sleduj ceny.</t>
  </si>
  <si>
    <t xml:space="preserve">Marketing / CAC na zakázku</t>
  </si>
  <si>
    <t xml:space="preserve">Odhad. Tohle číslo tlačí ceny malých zakázek nahoru nejvíc.</t>
  </si>
  <si>
    <t xml:space="preserve">Procentní ztráty celkem (bez DPH)</t>
  </si>
  <si>
    <t xml:space="preserve">Fixní náklady na zakázku</t>
  </si>
  <si>
    <t xml:space="preserve">Stripe fix + očekávaný kredit + marketing.</t>
  </si>
  <si>
    <t xml:space="preserve">5. DPH</t>
  </si>
  <si>
    <t xml:space="preserve">Je Cleansia plátce DPH? (ANO/NE)</t>
  </si>
  <si>
    <t xml:space="preserve">ANO</t>
  </si>
  <si>
    <t xml:space="preserve">Uklízečky jsou neplátci – z jejich faktury není nárok na odpočet.</t>
  </si>
  <si>
    <t xml:space="preserve">Sazba DPH</t>
  </si>
  <si>
    <t xml:space="preserve">Efektivní odvod z ceny vč. DPH</t>
  </si>
  <si>
    <t xml:space="preserve">17,4 % z každé ceny. Největší jednotlivá položka po odměně.</t>
  </si>
  <si>
    <t xml:space="preserve">6. Cenový vzorec</t>
  </si>
  <si>
    <t xml:space="preserve">Celkové procentní zatížení ceny</t>
  </si>
  <si>
    <t xml:space="preserve">DPH + poplatky + slevy + ztráty.</t>
  </si>
  <si>
    <t xml:space="preserve">Dělitel cenového vzorce</t>
  </si>
  <si>
    <t xml:space="preserve">1 − zatížení − cílový příspěvek.</t>
  </si>
  <si>
    <t xml:space="preserve">Kontrola dělitele</t>
  </si>
  <si>
    <t xml:space="preserve">Když se sem dostane POZOR, sniž cílový příspěvek nebo zatížení.</t>
  </si>
  <si>
    <t xml:space="preserve">Cena zakázky = (odměna uklízečky + fixní náklady) ÷ dělitel, zaokrouhleno nahoru.</t>
  </si>
  <si>
    <t xml:space="preserve">Takto sestavená cena vždy pokryje odměnu, DPH, poplatky, slevy, storna, reklamace, garanční kredit i marketing a ještě nechá cílový příspěvek. Rentabilita je zaručená konstrukcí, ne dodatečnou kontrolou.</t>
  </si>
  <si>
    <t xml:space="preserve">Jak se cena počítá – krok za krokem na jednom příkladu</t>
  </si>
  <si>
    <t xml:space="preserve">Příklad: DEEP clean bytu 3+kk (72,5 m²). Všechny hodnoty se berou z listu Vstupy.</t>
  </si>
  <si>
    <t xml:space="preserve">Plocha (m²)</t>
  </si>
  <si>
    <t xml:space="preserve">Střed intervalu 60–85 m².</t>
  </si>
  <si>
    <t xml:space="preserve">Pracnost (min/m²)</t>
  </si>
  <si>
    <t xml:space="preserve">Deep clean.</t>
  </si>
  <si>
    <t xml:space="preserve">Hodin práce</t>
  </si>
  <si>
    <t xml:space="preserve">Plocha × pracnost ÷ 60.</t>
  </si>
  <si>
    <t xml:space="preserve">Odměna uklízečky</t>
  </si>
  <si>
    <t xml:space="preserve">Hodiny × fakturovaná sazba.</t>
  </si>
  <si>
    <t xml:space="preserve">Součet, který musí cena pokrýt</t>
  </si>
  <si>
    <t xml:space="preserve">Odměna + fixní náklady.</t>
  </si>
  <si>
    <t xml:space="preserve">Dělitel</t>
  </si>
  <si>
    <t xml:space="preserve">Minimální cena</t>
  </si>
  <si>
    <t xml:space="preserve">Součet ÷ dělitel.</t>
  </si>
  <si>
    <t xml:space="preserve">Cena po zaokrouhlení</t>
  </si>
  <si>
    <t xml:space="preserve">Zaokrouhleno nahoru na násobek z Vstupy!B14.</t>
  </si>
  <si>
    <t xml:space="preserve">Z toho odvod DPH</t>
  </si>
  <si>
    <t xml:space="preserve">Z toho poplatky, slevy a ztráty</t>
  </si>
  <si>
    <t xml:space="preserve">Z toho odměna uklízečky</t>
  </si>
  <si>
    <t xml:space="preserve">Z toho fixní náklady</t>
  </si>
  <si>
    <t xml:space="preserve">Zbývá jako příspěvek</t>
  </si>
  <si>
    <t xml:space="preserve">Musí být ≥ cílový příspěvek.</t>
  </si>
  <si>
    <t xml:space="preserve">Příspěvek v %</t>
  </si>
  <si>
    <t xml:space="preserve">Proč je to postavené takhle</t>
  </si>
  <si>
    <t xml:space="preserve">Minulá verze brala ceny z Ceníku v3 jako dané a počítala, co zbude – a vycházelo, že uklízečka má 200–250 Kč/h a marže je 4–20 %. Tahle verze obrací směr výpočtu: zadáš, co má mít uklízečka a co máš mít ty, a vyjde cena.</t>
  </si>
  <si>
    <t xml:space="preserve">Nový ceník balíčků – dopočítaný z cílové odměny a cílové marže</t>
  </si>
  <si>
    <t xml:space="preserve">Sloupec L je cena do ceníku. Sloupce P a Q dokazují, že marže sedí u každého řádku.</t>
  </si>
  <si>
    <t xml:space="preserve">Balíček</t>
  </si>
  <si>
    <t xml:space="preserve">Dispozice</t>
  </si>
  <si>
    <t xml:space="preserve">m² od</t>
  </si>
  <si>
    <t xml:space="preserve">m² do</t>
  </si>
  <si>
    <t xml:space="preserve">m² střed</t>
  </si>
  <si>
    <t xml:space="preserve">Typ</t>
  </si>
  <si>
    <t xml:space="preserve">Pracnost min/m²</t>
  </si>
  <si>
    <t xml:space="preserve">Hodin</t>
  </si>
  <si>
    <t xml:space="preserve">Fixní náklady</t>
  </si>
  <si>
    <t xml:space="preserve">CENA NOVÁ</t>
  </si>
  <si>
    <t xml:space="preserve">Kč/h pro zákazníka</t>
  </si>
  <si>
    <t xml:space="preserve">Podíl uklízečky z ceny</t>
  </si>
  <si>
    <t xml:space="preserve">Příspěvek Kč</t>
  </si>
  <si>
    <t xml:space="preserve">Příspěvek %</t>
  </si>
  <si>
    <t xml:space="preserve">Kontrola</t>
  </si>
  <si>
    <t xml:space="preserve">Cena v Ceníku v3</t>
  </si>
  <si>
    <t xml:space="preserve">Změna</t>
  </si>
  <si>
    <t xml:space="preserve">S</t>
  </si>
  <si>
    <t xml:space="preserve">1+kk</t>
  </si>
  <si>
    <t xml:space="preserve">ESSENTIAL</t>
  </si>
  <si>
    <t xml:space="preserve">DEEP</t>
  </si>
  <si>
    <t xml:space="preserve">M</t>
  </si>
  <si>
    <t xml:space="preserve">2+kk / 2+1</t>
  </si>
  <si>
    <t xml:space="preserve">L</t>
  </si>
  <si>
    <t xml:space="preserve">3+kk / 3+1</t>
  </si>
  <si>
    <t xml:space="preserve">XL</t>
  </si>
  <si>
    <t xml:space="preserve">4+kk / 4+1</t>
  </si>
  <si>
    <t xml:space="preserve">XXL</t>
  </si>
  <si>
    <t xml:space="preserve">dům 5+</t>
  </si>
  <si>
    <t xml:space="preserve">PRŮMĚR</t>
  </si>
  <si>
    <t xml:space="preserve">Sloupec M je cena za hodinu práce, kterou zákazník fakticky platí. Konkurence (CleanWhale) se pohybuje 300–500 Kč/h, ale u ní uklízečka nemá 300 Kč/h čistých a část služeb je bez DPH. Pokud vyjde M výrazně nad 600 Kč/h, máš tři páky: snížit cílový příspěvek, snížit CAC, nebo přiznat, že reálná pracnost je nižší.</t>
  </si>
  <si>
    <t xml:space="preserve">Sloupec N ukazuje, kolik z ceny jde uklízečce. To je opak provize: provize platformy je 1 − N. Vychází vyšší než dnešních 50 %, protože z ní musíš zaplatit i DPH.</t>
  </si>
  <si>
    <t xml:space="preserve">Doplňkové služby – přeceněno stejným vzorcem</t>
  </si>
  <si>
    <t xml:space="preserve">U doplňků se nepočítá marketing ani Stripe fix znovu (jedou na stejné objednávce), počítá se čas, materiál a procentní zatížení.</t>
  </si>
  <si>
    <t xml:space="preserve">Doplněk</t>
  </si>
  <si>
    <t xml:space="preserve">Čas (h)</t>
  </si>
  <si>
    <t xml:space="preserve">Materiál</t>
  </si>
  <si>
    <t xml:space="preserve">Nákladová cena</t>
  </si>
  <si>
    <t xml:space="preserve">Cena dle vzorce</t>
  </si>
  <si>
    <t xml:space="preserve">DOPORUČENÁ CENA</t>
  </si>
  <si>
    <t xml:space="preserve">Příspěvek % při doporučené</t>
  </si>
  <si>
    <t xml:space="preserve">Poznámka</t>
  </si>
  <si>
    <t xml:space="preserve">Mytí lednice zevnitř</t>
  </si>
  <si>
    <t xml:space="preserve">Mytí trouby (rozložení)</t>
  </si>
  <si>
    <t xml:space="preserve">Žehlení (1 hodina)</t>
  </si>
  <si>
    <t xml:space="preserve">Původní cena byla pod sazbou uklízečky – nová ji pokrývá.</t>
  </si>
  <si>
    <t xml:space="preserve">Čištění koberce parou (10 m²)</t>
  </si>
  <si>
    <t xml:space="preserve">Materiál zahrnuje spotřebu; amortizace stroje zvlášť.</t>
  </si>
  <si>
    <t xml:space="preserve">Parní dezinfekce matrace</t>
  </si>
  <si>
    <t xml:space="preserve">Impregnace čalounění (sedačka)</t>
  </si>
  <si>
    <t xml:space="preserve">Ozónová dezinfekce</t>
  </si>
  <si>
    <t xml:space="preserve">Stroj pracuje bez lidí – čas uklízečky je jen obsluha.</t>
  </si>
  <si>
    <t xml:space="preserve">Úklid sklepa / garáže (1 hodina)</t>
  </si>
  <si>
    <t xml:space="preserve">Mytí oken + rámy (10 m² skla)</t>
  </si>
  <si>
    <t xml:space="preserve">Vzorec dává cenovou PODLAHU, ne strop. Tam, kde původní ceník účtoval víc (ozón, matrace, tepování), cenu nesnižuj – trh ji akceptuje a marže je pak vyšší. Proto je závazný sloupec K.</t>
  </si>
  <si>
    <t xml:space="preserve">Doplňky jsou jediné místo, kde se dá marže zvednout bez zdražování základní služby. Prodávej je jako zaškrtávátka v košíku, ne jako samostatnou objednávku – jinak jim narostou fixní náklady.</t>
  </si>
  <si>
    <t xml:space="preserve">Modifikátory a příplatky</t>
  </si>
  <si>
    <t xml:space="preserve">Počítáno z času navíc a materiálu, stejným vzorcem. Procentní příplatky (expres, premium) se násobí z výsledné ceny.</t>
  </si>
  <si>
    <t xml:space="preserve">Položka</t>
  </si>
  <si>
    <t xml:space="preserve">Čas navíc (min)</t>
  </si>
  <si>
    <t xml:space="preserve">Pokoj navíc – ESSENTIAL</t>
  </si>
  <si>
    <t xml:space="preserve">Pokoj navíc – DEEP</t>
  </si>
  <si>
    <t xml:space="preserve">Koupelna navíc – ESSENTIAL</t>
  </si>
  <si>
    <t xml:space="preserve">Koupelna navíc – DEEP</t>
  </si>
  <si>
    <t xml:space="preserve">Kuchyně navíc / velká otevřená – ESSENTIAL</t>
  </si>
  <si>
    <t xml:space="preserve">Kuchyně navíc – DEEP</t>
  </si>
  <si>
    <t xml:space="preserve">Samostatné WC</t>
  </si>
  <si>
    <t xml:space="preserve">Balkon / terasa do 10 m²</t>
  </si>
  <si>
    <t xml:space="preserve">5. patro bez výtahu</t>
  </si>
  <si>
    <t xml:space="preserve">Ztráta času přenášením, ne úklid.</t>
  </si>
  <si>
    <t xml:space="preserve">Procentní příplatky (aplikují se na celkovou cenu)</t>
  </si>
  <si>
    <t xml:space="preserve">Příplatek</t>
  </si>
  <si>
    <t xml:space="preserve">Sazba</t>
  </si>
  <si>
    <t xml:space="preserve">Komu náleží</t>
  </si>
  <si>
    <t xml:space="preserve">Expres (objednávka 2–4 h předem)</t>
  </si>
  <si>
    <t xml:space="preserve">platforma</t>
  </si>
  <si>
    <t xml:space="preserve">Kompenzuje horší plánování a vyšší riziko neobsazení.</t>
  </si>
  <si>
    <t xml:space="preserve">Premium tier</t>
  </si>
  <si>
    <t xml:space="preserve">dělit s uklízečkou</t>
  </si>
  <si>
    <t xml:space="preserve">Náročnější klient, eko chemie, zkušenější uklízečka – část musí jít jí.</t>
  </si>
  <si>
    <t xml:space="preserve">Silné znečištění (po zvířatech)</t>
  </si>
  <si>
    <t xml:space="preserve">Odpovídá reálně delšímu času – jinak na tom uklízečka prodělá.</t>
  </si>
  <si>
    <t xml:space="preserve">Noční a víkendový úklid</t>
  </si>
  <si>
    <t xml:space="preserve">převážně uklízečce</t>
  </si>
  <si>
    <t xml:space="preserve">Příplatek za nepohodlí patří tomu, kdo ho nese.</t>
  </si>
  <si>
    <t xml:space="preserve">Pozor: u příplatku za znečištění a za noční práci platí, že pokud si ho nechá celý platforma, uklízečka odpracuje víc hodin za stejné peníze – a to je přesně ten typ nerovnováhy, na který kouká inspektorát.</t>
  </si>
  <si>
    <t xml:space="preserve">Více uklízeček na jedné zakázce</t>
  </si>
  <si>
    <t xml:space="preserve">Cena se počítá z CELKOVÝCH odpracovaných hodin, ne paušálním příplatkem 180 Kč/h. Marže tak drží u každé velikosti posádky.</t>
  </si>
  <si>
    <t xml:space="preserve">Zadání</t>
  </si>
  <si>
    <t xml:space="preserve">Typ (ESSENTIAL/DEEP)</t>
  </si>
  <si>
    <t xml:space="preserve">Uklízeček</t>
  </si>
  <si>
    <t xml:space="preserve">η efektivita</t>
  </si>
  <si>
    <t xml:space="preserve">Čas zakázky (h)</t>
  </si>
  <si>
    <t xml:space="preserve">Odpracováno celkem (h)</t>
  </si>
  <si>
    <t xml:space="preserve">Odměna celkem</t>
  </si>
  <si>
    <t xml:space="preserve">Zkrácení času</t>
  </si>
  <si>
    <t xml:space="preserve">Každá uklízečka dostane svých 300 Kč/h za odpracovaný čas. Zákazník platí víc, ale má hotovo dřív – sloupec J říká o kolik. To je ten produkt, který prodáváš: rychlost.</t>
  </si>
  <si>
    <t xml:space="preserve">Původní příplatek 180 Kč/h za každou další uklízečku marži neudrží, protože každá další hodina práce stojí 300 Kč plus DPH a zatížení – reálně přes 500 Kč.</t>
  </si>
  <si>
    <t xml:space="preserve">Ekonomika jedné zakázky při nových cenách</t>
  </si>
  <si>
    <t xml:space="preserve">Kontrolní rozklad. Poslední řádek musí být u všech sloupců nad cílovým příspěvkem.</t>
  </si>
  <si>
    <t xml:space="preserve">ESSENTIAL M (2+kk)</t>
  </si>
  <si>
    <t xml:space="preserve">DEEP L (3+kk)</t>
  </si>
  <si>
    <t xml:space="preserve">Průměr balíčků</t>
  </si>
  <si>
    <t xml:space="preserve">Cena zákazníka (vč. DPH)</t>
  </si>
  <si>
    <t xml:space="preserve">Nové ceny z listu Balíčky.</t>
  </si>
  <si>
    <t xml:space="preserve">− Odvod DPH</t>
  </si>
  <si>
    <t xml:space="preserve">17,4 % z ceny, bez nároku na odpočet.</t>
  </si>
  <si>
    <t xml:space="preserve">− Slevy (Plus, tier, promo)</t>
  </si>
  <si>
    <t xml:space="preserve">− Poplatky Stripe (%)</t>
  </si>
  <si>
    <t xml:space="preserve">− Storna a refundace</t>
  </si>
  <si>
    <t xml:space="preserve">− Reklamace</t>
  </si>
  <si>
    <t xml:space="preserve">− Chargebacky</t>
  </si>
  <si>
    <t xml:space="preserve">− Odměna uklízečky</t>
  </si>
  <si>
    <t xml:space="preserve">Hodiny × 300 Kč/h (nebo dle přepínače).</t>
  </si>
  <si>
    <t xml:space="preserve">− Fixní náklady (Stripe fix, kredit, CAC)</t>
  </si>
  <si>
    <t xml:space="preserve">PŘÍSPĚVEK NA ÚHRADU</t>
  </si>
  <si>
    <t xml:space="preserve">Kontrola proti cíli</t>
  </si>
  <si>
    <t xml:space="preserve">Výdělek uklízečky (Kč/h)</t>
  </si>
  <si>
    <t xml:space="preserve">Měsíční výsledek a bod zvratu při nových cenách</t>
  </si>
  <si>
    <t xml:space="preserve">Fixní náklady jsou odhad – přepiš je svými čísly.</t>
  </si>
  <si>
    <t xml:space="preserve">Ukazatel</t>
  </si>
  <si>
    <t xml:space="preserve">Rozjezd</t>
  </si>
  <si>
    <t xml:space="preserve">Provoz</t>
  </si>
  <si>
    <t xml:space="preserve">Škála</t>
  </si>
  <si>
    <t xml:space="preserve">Počet zakázek za měsíc</t>
  </si>
  <si>
    <t xml:space="preserve">Průměrný příspěvek na zakázku</t>
  </si>
  <si>
    <t xml:space="preserve">Z listu Ekonomika.</t>
  </si>
  <si>
    <t xml:space="preserve">Příspěvek ze zakázek</t>
  </si>
  <si>
    <t xml:space="preserve">Počet členů Cleansia Plus</t>
  </si>
  <si>
    <t xml:space="preserve">Odhad 8 % zákazníků.</t>
  </si>
  <si>
    <t xml:space="preserve">Tržby z Plus (po DPH)</t>
  </si>
  <si>
    <t xml:space="preserve">199 Kč/měsíc včetně DPH.</t>
  </si>
  <si>
    <t xml:space="preserve">Příspěvek celkem</t>
  </si>
  <si>
    <t xml:space="preserve">Fixní měsíční náklady</t>
  </si>
  <si>
    <t xml:space="preserve">Kč/měsíc</t>
  </si>
  <si>
    <t xml:space="preserve">Hosting Azure, databáze, úložiště</t>
  </si>
  <si>
    <t xml:space="preserve">Roste s objemem.</t>
  </si>
  <si>
    <t xml:space="preserve">SendGrid, Mapbox, Firebase, domény</t>
  </si>
  <si>
    <t xml:space="preserve">Apple Developer + Google Play</t>
  </si>
  <si>
    <t xml:space="preserve">Rozpočítáno z ročních poplatků.</t>
  </si>
  <si>
    <t xml:space="preserve">Účetnictví</t>
  </si>
  <si>
    <t xml:space="preserve">Právní služby</t>
  </si>
  <si>
    <t xml:space="preserve">V prvním roce výrazně víc.</t>
  </si>
  <si>
    <t xml:space="preserve">Marketing nad rámec CAC (značka, obsah)</t>
  </si>
  <si>
    <t xml:space="preserve">CAC na zakázku je v listu Vstupy.</t>
  </si>
  <si>
    <t xml:space="preserve">Podpora a administrace</t>
  </si>
  <si>
    <t xml:space="preserve">Schvalování, reklamace, výplaty, refundace – dnes ručně.</t>
  </si>
  <si>
    <t xml:space="preserve">Pojištění platformy, ostatní</t>
  </si>
  <si>
    <t xml:space="preserve">FIXNÍ NÁKLADY CELKEM</t>
  </si>
  <si>
    <t xml:space="preserve">Provozní výsledek (EBITDA)</t>
  </si>
  <si>
    <t xml:space="preserve">Bod zvratu – zakázek za měsíc</t>
  </si>
  <si>
    <t xml:space="preserve">Zakázek denně (30 dní)</t>
  </si>
  <si>
    <t xml:space="preserve">Citlivost ceny na klíčové vstupy</t>
  </si>
  <si>
    <t xml:space="preserve">Cena balíčku DEEP L (72,5 m²) podle sazby uklízečky a režimu DPH. Ukazuje, o kolik je plátcovství DPH dražší pro zákazníka.</t>
  </si>
  <si>
    <t xml:space="preserve">Sazba uklízečky (Kč/h)</t>
  </si>
  <si>
    <t xml:space="preserve">Cena – plátce DPH</t>
  </si>
  <si>
    <t xml:space="preserve">Cena – neplátce DPH</t>
  </si>
  <si>
    <t xml:space="preserve">Rozdíl</t>
  </si>
  <si>
    <t xml:space="preserve">Kč/h pro zákazníka (plátce)</t>
  </si>
  <si>
    <t xml:space="preserve">Vliv cílového příspěvku a marketingu (DEEP L, sazba dle Vstupů)</t>
  </si>
  <si>
    <t xml:space="preserve">Cílový příspěvek</t>
  </si>
  <si>
    <t xml:space="preserve">CAC 60 Kč</t>
  </si>
  <si>
    <t xml:space="preserve">CAC 120 Kč</t>
  </si>
  <si>
    <t xml:space="preserve">CAC 200 Kč</t>
  </si>
  <si>
    <t xml:space="preserve">Co z toho plyne: každých 10 Kč/h navíc pro uklízečku zdraží DEEP L zhruba o 110 Kč. Plátcovství DPH zdražuje o víc než čtvrtinu – pokud první rok zůstanete pod obratem 2 mil. Kč, je to zásadní cenová výhoda.</t>
  </si>
  <si>
    <t xml:space="preserve">Staré služby přepočítané novým vzorcem</t>
  </si>
  <si>
    <t xml:space="preserve">Řádky z původní kalkulace (Kalkulace_vsechny_doplnky_finalV1.xlsx) – kolik by musely stát, aby uklízečka měla svou sazbu a vám zbyla marže.</t>
  </si>
  <si>
    <t xml:space="preserve">Služba</t>
  </si>
  <si>
    <t xml:space="preserve">m²</t>
  </si>
  <si>
    <t xml:space="preserve">Původní cena</t>
  </si>
  <si>
    <t xml:space="preserve">Verdikt původní ceny</t>
  </si>
  <si>
    <t xml:space="preserve">Jednorázový úklid do 50 m²</t>
  </si>
  <si>
    <t xml:space="preserve">Jednorázový úklid 50–100 m²</t>
  </si>
  <si>
    <t xml:space="preserve">Jednorázový úklid 100–200 m²</t>
  </si>
  <si>
    <t xml:space="preserve">Pravidelný úklid do 50 m²</t>
  </si>
  <si>
    <t xml:space="preserve">Pravidelný úklid 50–100 m²</t>
  </si>
  <si>
    <t xml:space="preserve">Pravidelný úklid 100–200 m²</t>
  </si>
  <si>
    <t xml:space="preserve">Úklid kanceláře do 50 m²</t>
  </si>
  <si>
    <t xml:space="preserve">Úklid kanceláře 50–100 m²</t>
  </si>
  <si>
    <t xml:space="preserve">Úklid kanceláře 100–200 m²</t>
  </si>
  <si>
    <t xml:space="preserve">Pravidelný úklid a kancelář by musely zdražit řádově – původní ceny 180 až 525 Kč nepokryjí ani hodinu práce uklízečky. Pokud chcete pravidelný úklid levnější, jediná legitimní páka je kratší rozsah (menší plocha, méně místností), ne nižší sazba.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</si>
</sst>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&quot; Kč&quot;"/>
    <numFmt numFmtId="166" formatCode="0.0%"/>
    <numFmt numFmtId="167" formatCode="General"/>
    <numFmt numFmtId="168" formatCode="0.00%"/>
    <numFmt numFmtId="169" formatCode="0.00"/>
    <numFmt numFmtId="170" formatCode="0.0"/>
    <numFmt numFmtId="171" formatCode="0"/>
    <numFmt numFmtId="172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300</v>
      </c>
      <c r="D5" s="2" t="s">
        <v>4</v>
      </c>
      <c r="E5" s="2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D6" s="2"/>
      <c r="E6" s="2" t="s">
        <v>8</v>
      </c>
    </row>
    <row r="7" customFormat="false" ht="15" hidden="false" customHeight="false" outlineLevel="0" collapsed="false">
      <c r="A7" s="4" t="s">
        <v>9</v>
      </c>
      <c r="B7" s="6" t="n">
        <v>65</v>
      </c>
      <c r="D7" s="2" t="s">
        <v>4</v>
      </c>
      <c r="E7" s="2" t="s">
        <v>10</v>
      </c>
    </row>
    <row r="8" customFormat="false" ht="15" hidden="false" customHeight="false" outlineLevel="0" collapsed="false">
      <c r="A8" s="7" t="s">
        <v>11</v>
      </c>
      <c r="B8" s="8" t="n">
        <f aca="false">IF(B6="ANO",B5+B7,B5)</f>
        <v>300</v>
      </c>
      <c r="D8" s="2" t="s">
        <v>4</v>
      </c>
      <c r="E8" s="2" t="s">
        <v>12</v>
      </c>
    </row>
    <row r="9" customFormat="false" ht="15" hidden="false" customHeight="false" outlineLevel="0" collapsed="false">
      <c r="A9" s="7" t="s">
        <v>13</v>
      </c>
      <c r="B9" s="8" t="n">
        <f aca="false">B8-B7</f>
        <v>235</v>
      </c>
      <c r="D9" s="2" t="s">
        <v>4</v>
      </c>
      <c r="E9" s="2" t="s">
        <v>14</v>
      </c>
    </row>
    <row r="11" customFormat="false" ht="15" hidden="false" customHeight="false" outlineLevel="0" collapsed="false">
      <c r="A11" s="3" t="s">
        <v>15</v>
      </c>
    </row>
    <row r="12" customFormat="false" ht="15" hidden="false" customHeight="false" outlineLevel="0" collapsed="false">
      <c r="A12" s="4" t="s">
        <v>16</v>
      </c>
      <c r="B12" s="9" t="n">
        <v>0.18</v>
      </c>
      <c r="D12" s="2" t="s">
        <v>17</v>
      </c>
      <c r="E12" s="2" t="s">
        <v>18</v>
      </c>
    </row>
    <row r="13" customFormat="false" ht="15" hidden="false" customHeight="false" outlineLevel="0" collapsed="false">
      <c r="A13" s="4" t="s">
        <v>19</v>
      </c>
      <c r="B13" s="6" t="n">
        <v>690</v>
      </c>
      <c r="D13" s="2" t="s">
        <v>20</v>
      </c>
      <c r="E13" s="2" t="s">
        <v>21</v>
      </c>
    </row>
    <row r="14" customFormat="false" ht="15" hidden="false" customHeight="false" outlineLevel="0" collapsed="false">
      <c r="A14" s="4" t="s">
        <v>22</v>
      </c>
      <c r="B14" s="6" t="n">
        <v>10</v>
      </c>
      <c r="D14" s="2" t="s">
        <v>20</v>
      </c>
      <c r="E14" s="2" t="s">
        <v>23</v>
      </c>
    </row>
    <row r="16" customFormat="false" ht="15" hidden="false" customHeight="false" outlineLevel="0" collapsed="false">
      <c r="A16" s="3" t="s">
        <v>24</v>
      </c>
      <c r="B16" s="7" t="s">
        <v>25</v>
      </c>
      <c r="C16" s="7" t="s">
        <v>26</v>
      </c>
    </row>
    <row r="17" customFormat="false" ht="15" hidden="false" customHeight="false" outlineLevel="0" collapsed="false">
      <c r="A17" s="4" t="s">
        <v>27</v>
      </c>
      <c r="B17" s="6" t="n">
        <v>1.2</v>
      </c>
      <c r="C17" s="6" t="n">
        <v>3</v>
      </c>
      <c r="D17" s="2" t="s">
        <v>28</v>
      </c>
      <c r="E17" s="2" t="s">
        <v>29</v>
      </c>
    </row>
    <row r="18" customFormat="false" ht="15" hidden="false" customHeight="false" outlineLevel="0" collapsed="false">
      <c r="A18" s="4" t="s">
        <v>30</v>
      </c>
      <c r="B18" s="6" t="n">
        <v>2.5</v>
      </c>
      <c r="C18" s="6" t="n">
        <v>5</v>
      </c>
      <c r="D18" s="2" t="s">
        <v>28</v>
      </c>
      <c r="E18" s="2" t="s">
        <v>31</v>
      </c>
    </row>
    <row r="19" customFormat="false" ht="15" hidden="false" customHeight="false" outlineLevel="0" collapsed="false">
      <c r="A19" s="4" t="s">
        <v>32</v>
      </c>
      <c r="B19" s="6" t="n">
        <v>3.8</v>
      </c>
      <c r="C19" s="6" t="n">
        <v>7</v>
      </c>
      <c r="D19" s="2" t="s">
        <v>28</v>
      </c>
      <c r="E19" s="2" t="s">
        <v>33</v>
      </c>
    </row>
    <row r="20" customFormat="false" ht="15" hidden="false" customHeight="false" outlineLevel="0" collapsed="false">
      <c r="A20" s="4" t="s">
        <v>34</v>
      </c>
      <c r="B20" s="5" t="s">
        <v>35</v>
      </c>
      <c r="D20" s="2"/>
      <c r="E20" s="2" t="s">
        <v>36</v>
      </c>
    </row>
    <row r="21" customFormat="false" ht="15" hidden="false" customHeight="false" outlineLevel="0" collapsed="false">
      <c r="A21" s="7" t="s">
        <v>37</v>
      </c>
      <c r="B21" s="10" t="n">
        <f aca="false">IF($B$20="CENÍK",B17,C17)</f>
        <v>3</v>
      </c>
      <c r="D21" s="2" t="s">
        <v>28</v>
      </c>
      <c r="E21" s="2"/>
    </row>
    <row r="22" customFormat="false" ht="15" hidden="false" customHeight="false" outlineLevel="0" collapsed="false">
      <c r="A22" s="7" t="s">
        <v>38</v>
      </c>
      <c r="B22" s="10" t="n">
        <f aca="false">IF($B$20="CENÍK",B18,C18)</f>
        <v>5</v>
      </c>
      <c r="D22" s="2" t="s">
        <v>28</v>
      </c>
      <c r="E22" s="2"/>
    </row>
    <row r="23" customFormat="false" ht="15" hidden="false" customHeight="false" outlineLevel="0" collapsed="false">
      <c r="A23" s="7" t="s">
        <v>39</v>
      </c>
      <c r="B23" s="10" t="n">
        <f aca="false">IF($B$20="CENÍK",B19,C19)</f>
        <v>7</v>
      </c>
      <c r="D23" s="2" t="s">
        <v>28</v>
      </c>
      <c r="E23" s="2"/>
    </row>
    <row r="25" customFormat="false" ht="15" hidden="false" customHeight="false" outlineLevel="0" collapsed="false">
      <c r="A25" s="3" t="s">
        <v>40</v>
      </c>
    </row>
    <row r="26" customFormat="false" ht="15" hidden="false" customHeight="false" outlineLevel="0" collapsed="false">
      <c r="A26" s="4" t="s">
        <v>41</v>
      </c>
      <c r="B26" s="11" t="n">
        <v>0.014</v>
      </c>
      <c r="D26" s="2" t="s">
        <v>42</v>
      </c>
      <c r="E26" s="2" t="s">
        <v>43</v>
      </c>
    </row>
    <row r="27" customFormat="false" ht="15" hidden="false" customHeight="false" outlineLevel="0" collapsed="false">
      <c r="A27" s="4" t="s">
        <v>44</v>
      </c>
      <c r="B27" s="6" t="n">
        <v>6</v>
      </c>
      <c r="D27" s="2" t="s">
        <v>20</v>
      </c>
      <c r="E27" s="2" t="s">
        <v>45</v>
      </c>
    </row>
    <row r="28" customFormat="false" ht="15" hidden="false" customHeight="false" outlineLevel="0" collapsed="false">
      <c r="A28" s="4" t="s">
        <v>46</v>
      </c>
      <c r="B28" s="11" t="n">
        <v>0.04</v>
      </c>
      <c r="D28" s="2" t="s">
        <v>42</v>
      </c>
      <c r="E28" s="2" t="s">
        <v>47</v>
      </c>
    </row>
    <row r="29" customFormat="false" ht="15" hidden="false" customHeight="false" outlineLevel="0" collapsed="false">
      <c r="A29" s="4" t="s">
        <v>48</v>
      </c>
      <c r="B29" s="11" t="n">
        <v>0.02</v>
      </c>
      <c r="D29" s="2" t="s">
        <v>42</v>
      </c>
      <c r="E29" s="2"/>
    </row>
    <row r="30" customFormat="false" ht="15" hidden="false" customHeight="false" outlineLevel="0" collapsed="false">
      <c r="A30" s="4" t="s">
        <v>49</v>
      </c>
      <c r="B30" s="11" t="n">
        <v>0.02</v>
      </c>
      <c r="D30" s="2" t="s">
        <v>42</v>
      </c>
      <c r="E30" s="2" t="s">
        <v>50</v>
      </c>
    </row>
    <row r="31" customFormat="false" ht="15" hidden="false" customHeight="false" outlineLevel="0" collapsed="false">
      <c r="A31" s="4" t="s">
        <v>51</v>
      </c>
      <c r="B31" s="11" t="n">
        <v>0.003</v>
      </c>
      <c r="D31" s="2" t="s">
        <v>42</v>
      </c>
      <c r="E31" s="2"/>
    </row>
    <row r="32" customFormat="false" ht="15" hidden="false" customHeight="false" outlineLevel="0" collapsed="false">
      <c r="A32" s="4" t="s">
        <v>52</v>
      </c>
      <c r="B32" s="11" t="n">
        <v>0.015</v>
      </c>
      <c r="D32" s="2" t="s">
        <v>42</v>
      </c>
      <c r="E32" s="2" t="s">
        <v>53</v>
      </c>
    </row>
    <row r="33" customFormat="false" ht="15" hidden="false" customHeight="false" outlineLevel="0" collapsed="false">
      <c r="A33" s="4" t="s">
        <v>54</v>
      </c>
      <c r="B33" s="6" t="n">
        <v>250</v>
      </c>
      <c r="D33" s="2" t="s">
        <v>20</v>
      </c>
      <c r="E33" s="2" t="s">
        <v>55</v>
      </c>
    </row>
    <row r="34" customFormat="false" ht="15" hidden="false" customHeight="false" outlineLevel="0" collapsed="false">
      <c r="A34" s="4" t="s">
        <v>56</v>
      </c>
      <c r="B34" s="5" t="n">
        <v>120</v>
      </c>
      <c r="D34" s="2" t="s">
        <v>20</v>
      </c>
      <c r="E34" s="2" t="s">
        <v>57</v>
      </c>
    </row>
    <row r="35" customFormat="false" ht="15" hidden="false" customHeight="false" outlineLevel="0" collapsed="false">
      <c r="A35" s="7" t="s">
        <v>58</v>
      </c>
      <c r="B35" s="12" t="n">
        <f aca="false">B26+B28+B29+B30+B31</f>
        <v>0.097</v>
      </c>
      <c r="D35" s="2" t="s">
        <v>42</v>
      </c>
      <c r="E35" s="2"/>
    </row>
    <row r="36" customFormat="false" ht="15" hidden="false" customHeight="false" outlineLevel="0" collapsed="false">
      <c r="A36" s="7" t="s">
        <v>59</v>
      </c>
      <c r="B36" s="8" t="n">
        <f aca="false">B27+B32*B33+B34</f>
        <v>129.75</v>
      </c>
      <c r="D36" s="2" t="s">
        <v>20</v>
      </c>
      <c r="E36" s="2" t="s">
        <v>60</v>
      </c>
    </row>
    <row r="38" customFormat="false" ht="15" hidden="false" customHeight="false" outlineLevel="0" collapsed="false">
      <c r="A38" s="3" t="s">
        <v>61</v>
      </c>
    </row>
    <row r="39" customFormat="false" ht="15" hidden="false" customHeight="false" outlineLevel="0" collapsed="false">
      <c r="A39" s="4" t="s">
        <v>62</v>
      </c>
      <c r="B39" s="5" t="s">
        <v>63</v>
      </c>
      <c r="D39" s="2"/>
      <c r="E39" s="2" t="s">
        <v>64</v>
      </c>
    </row>
    <row r="40" customFormat="false" ht="15" hidden="false" customHeight="false" outlineLevel="0" collapsed="false">
      <c r="A40" s="4" t="s">
        <v>65</v>
      </c>
      <c r="B40" s="11" t="n">
        <v>0.21</v>
      </c>
      <c r="D40" s="2" t="s">
        <v>42</v>
      </c>
      <c r="E40" s="2"/>
    </row>
    <row r="41" customFormat="false" ht="15" hidden="false" customHeight="false" outlineLevel="0" collapsed="false">
      <c r="A41" s="7" t="s">
        <v>66</v>
      </c>
      <c r="B41" s="12" t="n">
        <f aca="false">IF(B39="ANO",B40/(1+B40),0)</f>
        <v>0.173553719008264</v>
      </c>
      <c r="D41" s="2" t="s">
        <v>42</v>
      </c>
      <c r="E41" s="2" t="s">
        <v>67</v>
      </c>
    </row>
    <row r="43" customFormat="false" ht="15" hidden="false" customHeight="false" outlineLevel="0" collapsed="false">
      <c r="A43" s="3" t="s">
        <v>68</v>
      </c>
    </row>
    <row r="44" customFormat="false" ht="15" hidden="false" customHeight="false" outlineLevel="0" collapsed="false">
      <c r="A44" s="7" t="s">
        <v>69</v>
      </c>
      <c r="B44" s="12" t="n">
        <f aca="false">B41+B35</f>
        <v>0.270553719008264</v>
      </c>
      <c r="D44" s="2" t="s">
        <v>42</v>
      </c>
      <c r="E44" s="2" t="s">
        <v>70</v>
      </c>
    </row>
    <row r="45" customFormat="false" ht="15" hidden="false" customHeight="false" outlineLevel="0" collapsed="false">
      <c r="A45" s="7" t="s">
        <v>71</v>
      </c>
      <c r="B45" s="13" t="n">
        <f aca="false">1-B44-B12</f>
        <v>0.549446280991736</v>
      </c>
      <c r="D45" s="2"/>
      <c r="E45" s="2" t="s">
        <v>72</v>
      </c>
    </row>
    <row r="46" customFormat="false" ht="15" hidden="false" customHeight="false" outlineLevel="0" collapsed="false">
      <c r="A46" s="7" t="s">
        <v>73</v>
      </c>
      <c r="B46" s="10" t="str">
        <f aca="false">IF(B45&lt;=0.1,"POZOR: cílová marže je při tomto zatížení nedosažitelná","OK")</f>
        <v>OK</v>
      </c>
      <c r="D46" s="2"/>
      <c r="E46" s="2" t="s">
        <v>74</v>
      </c>
    </row>
    <row r="48" customFormat="false" ht="15" hidden="false" customHeight="false" outlineLevel="0" collapsed="false">
      <c r="A48" s="7" t="s">
        <v>75</v>
      </c>
    </row>
    <row r="49" customFormat="false" ht="15" hidden="false" customHeight="false" outlineLevel="0" collapsed="false">
      <c r="A49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82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4" t="s">
        <v>79</v>
      </c>
      <c r="B4" s="14" t="n">
        <f aca="false">Balíčky!E10</f>
        <v>72.5</v>
      </c>
      <c r="C4" s="2" t="s">
        <v>80</v>
      </c>
    </row>
    <row r="5" customFormat="false" ht="15" hidden="false" customHeight="false" outlineLevel="0" collapsed="false">
      <c r="A5" s="4" t="s">
        <v>81</v>
      </c>
      <c r="B5" s="15" t="n">
        <f aca="false">Vstupy!B22</f>
        <v>5</v>
      </c>
      <c r="C5" s="2" t="s">
        <v>82</v>
      </c>
    </row>
    <row r="6" customFormat="false" ht="15" hidden="false" customHeight="false" outlineLevel="0" collapsed="false">
      <c r="A6" s="4" t="s">
        <v>83</v>
      </c>
      <c r="B6" s="15" t="n">
        <f aca="false">B4*B5/60</f>
        <v>6.04166666666667</v>
      </c>
      <c r="C6" s="2" t="s">
        <v>84</v>
      </c>
    </row>
    <row r="7" customFormat="false" ht="15" hidden="false" customHeight="false" outlineLevel="0" collapsed="false">
      <c r="A7" s="4" t="s">
        <v>85</v>
      </c>
      <c r="B7" s="14" t="n">
        <f aca="false">B6*Vstupy!B8</f>
        <v>1812.5</v>
      </c>
      <c r="C7" s="2" t="s">
        <v>86</v>
      </c>
    </row>
    <row r="8" customFormat="false" ht="15" hidden="false" customHeight="false" outlineLevel="0" collapsed="false">
      <c r="A8" s="4" t="s">
        <v>59</v>
      </c>
      <c r="B8" s="14" t="n">
        <f aca="false">Vstupy!B36</f>
        <v>129.75</v>
      </c>
      <c r="C8" s="2" t="s">
        <v>60</v>
      </c>
    </row>
    <row r="9" customFormat="false" ht="15" hidden="false" customHeight="false" outlineLevel="0" collapsed="false">
      <c r="A9" s="4" t="s">
        <v>87</v>
      </c>
      <c r="B9" s="14" t="n">
        <f aca="false">B7+B8</f>
        <v>1942.25</v>
      </c>
      <c r="C9" s="2" t="s">
        <v>88</v>
      </c>
    </row>
    <row r="10" customFormat="false" ht="15" hidden="false" customHeight="false" outlineLevel="0" collapsed="false">
      <c r="A10" s="4" t="s">
        <v>89</v>
      </c>
      <c r="B10" s="15" t="n">
        <f aca="false">Vstupy!B45</f>
        <v>0.549446280991736</v>
      </c>
      <c r="C10" s="2" t="s">
        <v>72</v>
      </c>
    </row>
    <row r="11" customFormat="false" ht="15" hidden="false" customHeight="false" outlineLevel="0" collapsed="false">
      <c r="A11" s="4" t="s">
        <v>90</v>
      </c>
      <c r="B11" s="14" t="n">
        <f aca="false">B9/B10</f>
        <v>3534.9224613811</v>
      </c>
      <c r="C11" s="2" t="s">
        <v>91</v>
      </c>
    </row>
    <row r="12" customFormat="false" ht="15" hidden="false" customHeight="false" outlineLevel="0" collapsed="false">
      <c r="A12" s="4" t="s">
        <v>92</v>
      </c>
      <c r="B12" s="14" t="n">
        <f aca="false">CEILING(B11,Vstupy!B14)</f>
        <v>3540</v>
      </c>
      <c r="C12" s="2" t="s">
        <v>93</v>
      </c>
    </row>
    <row r="13" customFormat="false" ht="15" hidden="false" customHeight="false" outlineLevel="0" collapsed="false">
      <c r="A13" s="4" t="s">
        <v>94</v>
      </c>
      <c r="B13" s="14" t="n">
        <f aca="false">B12*Vstupy!B41</f>
        <v>614.380165289256</v>
      </c>
      <c r="C13" s="2"/>
    </row>
    <row r="14" customFormat="false" ht="15" hidden="false" customHeight="false" outlineLevel="0" collapsed="false">
      <c r="A14" s="4" t="s">
        <v>95</v>
      </c>
      <c r="B14" s="14" t="n">
        <f aca="false">B12*Vstupy!B35</f>
        <v>343.38</v>
      </c>
      <c r="C14" s="2"/>
    </row>
    <row r="15" customFormat="false" ht="15" hidden="false" customHeight="false" outlineLevel="0" collapsed="false">
      <c r="A15" s="4" t="s">
        <v>96</v>
      </c>
      <c r="B15" s="14" t="n">
        <f aca="false">B7</f>
        <v>1812.5</v>
      </c>
      <c r="C15" s="2"/>
    </row>
    <row r="16" customFormat="false" ht="15" hidden="false" customHeight="false" outlineLevel="0" collapsed="false">
      <c r="A16" s="4" t="s">
        <v>97</v>
      </c>
      <c r="B16" s="14" t="n">
        <f aca="false">B8</f>
        <v>129.75</v>
      </c>
      <c r="C16" s="2"/>
    </row>
    <row r="17" customFormat="false" ht="15" hidden="false" customHeight="false" outlineLevel="0" collapsed="false">
      <c r="A17" s="7" t="s">
        <v>98</v>
      </c>
      <c r="B17" s="16" t="n">
        <f aca="false">B12-B13-B14-B15-B16</f>
        <v>639.989834710744</v>
      </c>
      <c r="C17" s="2" t="s">
        <v>99</v>
      </c>
    </row>
    <row r="18" customFormat="false" ht="15" hidden="false" customHeight="false" outlineLevel="0" collapsed="false">
      <c r="A18" s="7" t="s">
        <v>100</v>
      </c>
      <c r="B18" s="12" t="n">
        <f aca="false">B17/B12</f>
        <v>0.18078808890134</v>
      </c>
      <c r="C18" s="2"/>
    </row>
    <row r="21" customFormat="false" ht="15" hidden="false" customHeight="false" outlineLevel="0" collapsed="false">
      <c r="A21" s="3" t="s">
        <v>101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4" min="12" style="0" width="13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1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31.5" hidden="false" customHeight="true" outlineLevel="0" collapsed="false">
      <c r="A4" s="17" t="s">
        <v>105</v>
      </c>
      <c r="B4" s="17" t="s">
        <v>106</v>
      </c>
      <c r="C4" s="17" t="s">
        <v>107</v>
      </c>
      <c r="D4" s="17" t="s">
        <v>108</v>
      </c>
      <c r="E4" s="17" t="s">
        <v>109</v>
      </c>
      <c r="F4" s="17" t="s">
        <v>110</v>
      </c>
      <c r="G4" s="17" t="s">
        <v>111</v>
      </c>
      <c r="H4" s="17" t="s">
        <v>112</v>
      </c>
      <c r="I4" s="17" t="s">
        <v>85</v>
      </c>
      <c r="J4" s="17" t="s">
        <v>113</v>
      </c>
      <c r="K4" s="17" t="s">
        <v>90</v>
      </c>
      <c r="L4" s="17" t="s">
        <v>114</v>
      </c>
      <c r="M4" s="17" t="s">
        <v>115</v>
      </c>
      <c r="N4" s="17" t="s">
        <v>116</v>
      </c>
      <c r="O4" s="17" t="s">
        <v>117</v>
      </c>
      <c r="P4" s="17" t="s">
        <v>118</v>
      </c>
      <c r="Q4" s="17" t="s">
        <v>119</v>
      </c>
      <c r="R4" s="17" t="s">
        <v>120</v>
      </c>
      <c r="S4" s="17" t="s">
        <v>121</v>
      </c>
    </row>
    <row r="5" customFormat="false" ht="15" hidden="false" customHeight="false" outlineLevel="0" collapsed="false">
      <c r="A5" s="18" t="s">
        <v>122</v>
      </c>
      <c r="B5" s="18" t="s">
        <v>123</v>
      </c>
      <c r="C5" s="19" t="n">
        <v>25</v>
      </c>
      <c r="D5" s="19" t="n">
        <v>35</v>
      </c>
      <c r="E5" s="20" t="n">
        <f aca="false">AVERAGE(C5:D5)</f>
        <v>30</v>
      </c>
      <c r="F5" s="18" t="s">
        <v>124</v>
      </c>
      <c r="G5" s="21" t="n">
        <f aca="false">IF(F5="DEEP",Vstupy!$B$22,Vstupy!$B$21)</f>
        <v>3</v>
      </c>
      <c r="H5" s="22" t="n">
        <f aca="false">E5*G5/60</f>
        <v>1.5</v>
      </c>
      <c r="I5" s="23" t="n">
        <f aca="false">H5*Vstupy!$B$8</f>
        <v>450</v>
      </c>
      <c r="J5" s="23" t="n">
        <f aca="false">Vstupy!$B$36</f>
        <v>129.75</v>
      </c>
      <c r="K5" s="23" t="n">
        <f aca="false">(I5+J5)/Vstupy!$B$45</f>
        <v>1055.15319705789</v>
      </c>
      <c r="L5" s="16" t="n">
        <f aca="false">MAX(CEILING(K5,Vstupy!$B$14),Vstupy!$B$13)</f>
        <v>1060</v>
      </c>
      <c r="M5" s="23" t="n">
        <f aca="false">L5/H5</f>
        <v>706.666666666667</v>
      </c>
      <c r="N5" s="24" t="n">
        <f aca="false">I5/L5</f>
        <v>0.424528301886792</v>
      </c>
      <c r="O5" s="23" t="n">
        <f aca="false">L5-L5*(Vstupy!$B$41+Vstupy!$B$35)-I5-J5</f>
        <v>193.46305785124</v>
      </c>
      <c r="P5" s="24" t="n">
        <f aca="false">O5/L5</f>
        <v>0.182512318727585</v>
      </c>
      <c r="Q5" s="20" t="str">
        <f aca="false">IF(P5&gt;=Vstupy!$B$12-0.001,"OK","POD CÍLEM")</f>
        <v>OK</v>
      </c>
      <c r="R5" s="25" t="n">
        <v>690</v>
      </c>
      <c r="S5" s="24" t="n">
        <f aca="false">L5/R5-1</f>
        <v>0.536231884057971</v>
      </c>
    </row>
    <row r="6" customFormat="false" ht="15" hidden="false" customHeight="false" outlineLevel="0" collapsed="false">
      <c r="A6" s="26" t="s">
        <v>122</v>
      </c>
      <c r="B6" s="26" t="s">
        <v>123</v>
      </c>
      <c r="C6" s="6" t="n">
        <v>25</v>
      </c>
      <c r="D6" s="6" t="n">
        <v>35</v>
      </c>
      <c r="E6" s="27" t="n">
        <f aca="false">AVERAGE(C6:D6)</f>
        <v>30</v>
      </c>
      <c r="F6" s="26" t="s">
        <v>125</v>
      </c>
      <c r="G6" s="28" t="n">
        <f aca="false">IF(F6="DEEP",Vstupy!$B$22,Vstupy!$B$21)</f>
        <v>5</v>
      </c>
      <c r="H6" s="29" t="n">
        <f aca="false">E6*G6/60</f>
        <v>2.5</v>
      </c>
      <c r="I6" s="30" t="n">
        <f aca="false">H6*Vstupy!$B$8</f>
        <v>750</v>
      </c>
      <c r="J6" s="30" t="n">
        <f aca="false">Vstupy!$B$36</f>
        <v>129.75</v>
      </c>
      <c r="K6" s="30" t="n">
        <f aca="false">(I6+J6)/Vstupy!$B$45</f>
        <v>1601.15743874374</v>
      </c>
      <c r="L6" s="16" t="n">
        <f aca="false">MAX(CEILING(K6,Vstupy!$B$14),Vstupy!$B$13)</f>
        <v>1610</v>
      </c>
      <c r="M6" s="30" t="n">
        <f aca="false">L6/H6</f>
        <v>644</v>
      </c>
      <c r="N6" s="31" t="n">
        <f aca="false">I6/L6</f>
        <v>0.46583850931677</v>
      </c>
      <c r="O6" s="30" t="n">
        <f aca="false">L6-L6*(Vstupy!$B$41+Vstupy!$B$35)-I6-J6</f>
        <v>294.658512396694</v>
      </c>
      <c r="P6" s="31" t="n">
        <f aca="false">O6/L6</f>
        <v>0.183017709563164</v>
      </c>
      <c r="Q6" s="27" t="str">
        <f aca="false">IF(P6&gt;=Vstupy!$B$12-0.001,"OK","POD CÍLEM")</f>
        <v>OK</v>
      </c>
      <c r="R6" s="32" t="n">
        <v>1490</v>
      </c>
      <c r="S6" s="31" t="n">
        <f aca="false">L6/R6-1</f>
        <v>0.080536912751678</v>
      </c>
    </row>
    <row r="7" customFormat="false" ht="15" hidden="false" customHeight="false" outlineLevel="0" collapsed="false">
      <c r="A7" s="18" t="s">
        <v>126</v>
      </c>
      <c r="B7" s="18" t="s">
        <v>127</v>
      </c>
      <c r="C7" s="19" t="n">
        <v>40</v>
      </c>
      <c r="D7" s="19" t="n">
        <v>60</v>
      </c>
      <c r="E7" s="20" t="n">
        <f aca="false">AVERAGE(C7:D7)</f>
        <v>50</v>
      </c>
      <c r="F7" s="18" t="s">
        <v>124</v>
      </c>
      <c r="G7" s="21" t="n">
        <f aca="false">IF(F7="DEEP",Vstupy!$B$22,Vstupy!$B$21)</f>
        <v>3</v>
      </c>
      <c r="H7" s="22" t="n">
        <f aca="false">E7*G7/60</f>
        <v>2.5</v>
      </c>
      <c r="I7" s="23" t="n">
        <f aca="false">H7*Vstupy!$B$8</f>
        <v>750</v>
      </c>
      <c r="J7" s="23" t="n">
        <f aca="false">Vstupy!$B$36</f>
        <v>129.75</v>
      </c>
      <c r="K7" s="23" t="n">
        <f aca="false">(I7+J7)/Vstupy!$B$45</f>
        <v>1601.15743874374</v>
      </c>
      <c r="L7" s="16" t="n">
        <f aca="false">MAX(CEILING(K7,Vstupy!$B$14),Vstupy!$B$13)</f>
        <v>1610</v>
      </c>
      <c r="M7" s="23" t="n">
        <f aca="false">L7/H7</f>
        <v>644</v>
      </c>
      <c r="N7" s="24" t="n">
        <f aca="false">I7/L7</f>
        <v>0.46583850931677</v>
      </c>
      <c r="O7" s="23" t="n">
        <f aca="false">L7-L7*(Vstupy!$B$41+Vstupy!$B$35)-I7-J7</f>
        <v>294.658512396694</v>
      </c>
      <c r="P7" s="24" t="n">
        <f aca="false">O7/L7</f>
        <v>0.183017709563164</v>
      </c>
      <c r="Q7" s="20" t="str">
        <f aca="false">IF(P7&gt;=Vstupy!$B$12-0.001,"OK","POD CÍLEM")</f>
        <v>OK</v>
      </c>
      <c r="R7" s="25" t="n">
        <v>1090</v>
      </c>
      <c r="S7" s="24" t="n">
        <f aca="false">L7/R7-1</f>
        <v>0.477064220183486</v>
      </c>
    </row>
    <row r="8" customFormat="false" ht="15" hidden="false" customHeight="false" outlineLevel="0" collapsed="false">
      <c r="A8" s="26" t="s">
        <v>126</v>
      </c>
      <c r="B8" s="26" t="s">
        <v>127</v>
      </c>
      <c r="C8" s="6" t="n">
        <v>40</v>
      </c>
      <c r="D8" s="6" t="n">
        <v>60</v>
      </c>
      <c r="E8" s="27" t="n">
        <f aca="false">AVERAGE(C8:D8)</f>
        <v>50</v>
      </c>
      <c r="F8" s="26" t="s">
        <v>125</v>
      </c>
      <c r="G8" s="28" t="n">
        <f aca="false">IF(F8="DEEP",Vstupy!$B$22,Vstupy!$B$21)</f>
        <v>5</v>
      </c>
      <c r="H8" s="29" t="n">
        <f aca="false">E8*G8/60</f>
        <v>4.16666666666667</v>
      </c>
      <c r="I8" s="30" t="n">
        <f aca="false">H8*Vstupy!$B$8</f>
        <v>1250</v>
      </c>
      <c r="J8" s="30" t="n">
        <f aca="false">Vstupy!$B$36</f>
        <v>129.75</v>
      </c>
      <c r="K8" s="30" t="n">
        <f aca="false">(I8+J8)/Vstupy!$B$45</f>
        <v>2511.16450822015</v>
      </c>
      <c r="L8" s="16" t="n">
        <f aca="false">MAX(CEILING(K8,Vstupy!$B$14),Vstupy!$B$13)</f>
        <v>2520</v>
      </c>
      <c r="M8" s="30" t="n">
        <f aca="false">L8/H8</f>
        <v>604.8</v>
      </c>
      <c r="N8" s="31" t="n">
        <f aca="false">I8/L8</f>
        <v>0.496031746031746</v>
      </c>
      <c r="O8" s="30" t="n">
        <f aca="false">L8-L8*(Vstupy!$B$41+Vstupy!$B$35)-I8-J8</f>
        <v>458.454628099174</v>
      </c>
      <c r="P8" s="31" t="n">
        <f aca="false">O8/L8</f>
        <v>0.181926439721894</v>
      </c>
      <c r="Q8" s="27" t="str">
        <f aca="false">IF(P8&gt;=Vstupy!$B$12-0.001,"OK","POD CÍLEM")</f>
        <v>OK</v>
      </c>
      <c r="R8" s="32" t="n">
        <v>2090</v>
      </c>
      <c r="S8" s="31" t="n">
        <f aca="false">L8/R8-1</f>
        <v>0.205741626794258</v>
      </c>
    </row>
    <row r="9" customFormat="false" ht="15" hidden="false" customHeight="false" outlineLevel="0" collapsed="false">
      <c r="A9" s="18" t="s">
        <v>128</v>
      </c>
      <c r="B9" s="18" t="s">
        <v>129</v>
      </c>
      <c r="C9" s="19" t="n">
        <v>60</v>
      </c>
      <c r="D9" s="19" t="n">
        <v>85</v>
      </c>
      <c r="E9" s="20" t="n">
        <f aca="false">AVERAGE(C9:D9)</f>
        <v>72.5</v>
      </c>
      <c r="F9" s="18" t="s">
        <v>124</v>
      </c>
      <c r="G9" s="21" t="n">
        <f aca="false">IF(F9="DEEP",Vstupy!$B$22,Vstupy!$B$21)</f>
        <v>3</v>
      </c>
      <c r="H9" s="22" t="n">
        <f aca="false">E9*G9/60</f>
        <v>3.625</v>
      </c>
      <c r="I9" s="23" t="n">
        <f aca="false">H9*Vstupy!$B$8</f>
        <v>1087.5</v>
      </c>
      <c r="J9" s="23" t="n">
        <f aca="false">Vstupy!$B$36</f>
        <v>129.75</v>
      </c>
      <c r="K9" s="23" t="n">
        <f aca="false">(I9+J9)/Vstupy!$B$45</f>
        <v>2215.41221064031</v>
      </c>
      <c r="L9" s="16" t="n">
        <f aca="false">MAX(CEILING(K9,Vstupy!$B$14),Vstupy!$B$13)</f>
        <v>2220</v>
      </c>
      <c r="M9" s="23" t="n">
        <f aca="false">L9/H9</f>
        <v>612.413793103448</v>
      </c>
      <c r="N9" s="24" t="n">
        <f aca="false">I9/L9</f>
        <v>0.489864864864865</v>
      </c>
      <c r="O9" s="23" t="n">
        <f aca="false">L9-L9*(Vstupy!$B$41+Vstupy!$B$35)-I9-J9</f>
        <v>402.120743801653</v>
      </c>
      <c r="P9" s="24" t="n">
        <f aca="false">O9/L9</f>
        <v>0.181135470180925</v>
      </c>
      <c r="Q9" s="20" t="str">
        <f aca="false">IF(P9&gt;=Vstupy!$B$12-0.001,"OK","POD CÍLEM")</f>
        <v>OK</v>
      </c>
      <c r="R9" s="25" t="n">
        <v>1590</v>
      </c>
      <c r="S9" s="24" t="n">
        <f aca="false">L9/R9-1</f>
        <v>0.39622641509434</v>
      </c>
    </row>
    <row r="10" customFormat="false" ht="15" hidden="false" customHeight="false" outlineLevel="0" collapsed="false">
      <c r="A10" s="26" t="s">
        <v>128</v>
      </c>
      <c r="B10" s="26" t="s">
        <v>129</v>
      </c>
      <c r="C10" s="6" t="n">
        <v>60</v>
      </c>
      <c r="D10" s="6" t="n">
        <v>85</v>
      </c>
      <c r="E10" s="27" t="n">
        <f aca="false">AVERAGE(C10:D10)</f>
        <v>72.5</v>
      </c>
      <c r="F10" s="26" t="s">
        <v>125</v>
      </c>
      <c r="G10" s="28" t="n">
        <f aca="false">IF(F10="DEEP",Vstupy!$B$22,Vstupy!$B$21)</f>
        <v>5</v>
      </c>
      <c r="H10" s="29" t="n">
        <f aca="false">E10*G10/60</f>
        <v>6.04166666666667</v>
      </c>
      <c r="I10" s="30" t="n">
        <f aca="false">H10*Vstupy!$B$8</f>
        <v>1812.5</v>
      </c>
      <c r="J10" s="30" t="n">
        <f aca="false">Vstupy!$B$36</f>
        <v>129.75</v>
      </c>
      <c r="K10" s="30" t="n">
        <f aca="false">(I10+J10)/Vstupy!$B$45</f>
        <v>3534.9224613811</v>
      </c>
      <c r="L10" s="16" t="n">
        <f aca="false">MAX(CEILING(K10,Vstupy!$B$14),Vstupy!$B$13)</f>
        <v>3540</v>
      </c>
      <c r="M10" s="30" t="n">
        <f aca="false">L10/H10</f>
        <v>585.931034482759</v>
      </c>
      <c r="N10" s="31" t="n">
        <f aca="false">I10/L10</f>
        <v>0.512005649717514</v>
      </c>
      <c r="O10" s="30" t="n">
        <f aca="false">L10-L10*(Vstupy!$B$41+Vstupy!$B$35)-I10-J10</f>
        <v>639.989834710744</v>
      </c>
      <c r="P10" s="31" t="n">
        <f aca="false">O10/L10</f>
        <v>0.18078808890134</v>
      </c>
      <c r="Q10" s="27" t="str">
        <f aca="false">IF(P10&gt;=Vstupy!$B$12-0.001,"OK","POD CÍLEM")</f>
        <v>OK</v>
      </c>
      <c r="R10" s="32" t="n">
        <v>2890</v>
      </c>
      <c r="S10" s="31" t="n">
        <f aca="false">L10/R10-1</f>
        <v>0.224913494809688</v>
      </c>
    </row>
    <row r="11" customFormat="false" ht="15" hidden="false" customHeight="false" outlineLevel="0" collapsed="false">
      <c r="A11" s="18" t="s">
        <v>130</v>
      </c>
      <c r="B11" s="18" t="s">
        <v>131</v>
      </c>
      <c r="C11" s="19" t="n">
        <v>85</v>
      </c>
      <c r="D11" s="19" t="n">
        <v>120</v>
      </c>
      <c r="E11" s="20" t="n">
        <f aca="false">AVERAGE(C11:D11)</f>
        <v>102.5</v>
      </c>
      <c r="F11" s="18" t="s">
        <v>124</v>
      </c>
      <c r="G11" s="21" t="n">
        <f aca="false">IF(F11="DEEP",Vstupy!$B$22,Vstupy!$B$21)</f>
        <v>3</v>
      </c>
      <c r="H11" s="22" t="n">
        <f aca="false">E11*G11/60</f>
        <v>5.125</v>
      </c>
      <c r="I11" s="23" t="n">
        <f aca="false">H11*Vstupy!$B$8</f>
        <v>1537.5</v>
      </c>
      <c r="J11" s="23" t="n">
        <f aca="false">Vstupy!$B$36</f>
        <v>129.75</v>
      </c>
      <c r="K11" s="23" t="n">
        <f aca="false">(I11+J11)/Vstupy!$B$45</f>
        <v>3034.41857316908</v>
      </c>
      <c r="L11" s="16" t="n">
        <f aca="false">MAX(CEILING(K11,Vstupy!$B$14),Vstupy!$B$13)</f>
        <v>3040</v>
      </c>
      <c r="M11" s="23" t="n">
        <f aca="false">L11/H11</f>
        <v>593.170731707317</v>
      </c>
      <c r="N11" s="24" t="n">
        <f aca="false">I11/L11</f>
        <v>0.505756578947369</v>
      </c>
      <c r="O11" s="23" t="n">
        <f aca="false">L11-L11*(Vstupy!$B$41+Vstupy!$B$35)-I11-J11</f>
        <v>550.266694214876</v>
      </c>
      <c r="P11" s="24" t="n">
        <f aca="false">O11/L11</f>
        <v>0.181008780991736</v>
      </c>
      <c r="Q11" s="20" t="str">
        <f aca="false">IF(P11&gt;=Vstupy!$B$12-0.001,"OK","POD CÍLEM")</f>
        <v>OK</v>
      </c>
      <c r="R11" s="25" t="n">
        <v>2190</v>
      </c>
      <c r="S11" s="24" t="n">
        <f aca="false">L11/R11-1</f>
        <v>0.388127853881278</v>
      </c>
    </row>
    <row r="12" customFormat="false" ht="15" hidden="false" customHeight="false" outlineLevel="0" collapsed="false">
      <c r="A12" s="26" t="s">
        <v>130</v>
      </c>
      <c r="B12" s="26" t="s">
        <v>131</v>
      </c>
      <c r="C12" s="6" t="n">
        <v>85</v>
      </c>
      <c r="D12" s="6" t="n">
        <v>120</v>
      </c>
      <c r="E12" s="27" t="n">
        <f aca="false">AVERAGE(C12:D12)</f>
        <v>102.5</v>
      </c>
      <c r="F12" s="26" t="s">
        <v>125</v>
      </c>
      <c r="G12" s="28" t="n">
        <f aca="false">IF(F12="DEEP",Vstupy!$B$22,Vstupy!$B$21)</f>
        <v>5</v>
      </c>
      <c r="H12" s="29" t="n">
        <f aca="false">E12*G12/60</f>
        <v>8.54166666666667</v>
      </c>
      <c r="I12" s="30" t="n">
        <f aca="false">H12*Vstupy!$B$8</f>
        <v>2562.5</v>
      </c>
      <c r="J12" s="30" t="n">
        <f aca="false">Vstupy!$B$36</f>
        <v>129.75</v>
      </c>
      <c r="K12" s="30" t="n">
        <f aca="false">(I12+J12)/Vstupy!$B$45</f>
        <v>4899.93306559572</v>
      </c>
      <c r="L12" s="16" t="n">
        <f aca="false">MAX(CEILING(K12,Vstupy!$B$14),Vstupy!$B$13)</f>
        <v>4900</v>
      </c>
      <c r="M12" s="30" t="n">
        <f aca="false">L12/H12</f>
        <v>573.658536585366</v>
      </c>
      <c r="N12" s="31" t="n">
        <f aca="false">I12/L12</f>
        <v>0.522959183673469</v>
      </c>
      <c r="O12" s="30" t="n">
        <f aca="false">L12-L12*(Vstupy!$B$41+Vstupy!$B$35)-I12-J12</f>
        <v>882.036776859504</v>
      </c>
      <c r="P12" s="31" t="n">
        <f aca="false">O12/L12</f>
        <v>0.180007505481531</v>
      </c>
      <c r="Q12" s="27" t="str">
        <f aca="false">IF(P12&gt;=Vstupy!$B$12-0.001,"OK","POD CÍLEM")</f>
        <v>OK</v>
      </c>
      <c r="R12" s="32" t="n">
        <v>3890</v>
      </c>
      <c r="S12" s="31" t="n">
        <f aca="false">L12/R12-1</f>
        <v>0.259640102827764</v>
      </c>
    </row>
    <row r="13" customFormat="false" ht="15" hidden="false" customHeight="false" outlineLevel="0" collapsed="false">
      <c r="A13" s="18" t="s">
        <v>132</v>
      </c>
      <c r="B13" s="18" t="s">
        <v>133</v>
      </c>
      <c r="C13" s="19" t="n">
        <v>120</v>
      </c>
      <c r="D13" s="19" t="n">
        <v>180</v>
      </c>
      <c r="E13" s="20" t="n">
        <f aca="false">AVERAGE(C13:D13)</f>
        <v>150</v>
      </c>
      <c r="F13" s="18" t="s">
        <v>124</v>
      </c>
      <c r="G13" s="21" t="n">
        <f aca="false">IF(F13="DEEP",Vstupy!$B$22,Vstupy!$B$21)</f>
        <v>3</v>
      </c>
      <c r="H13" s="22" t="n">
        <f aca="false">E13*G13/60</f>
        <v>7.5</v>
      </c>
      <c r="I13" s="23" t="n">
        <f aca="false">H13*Vstupy!$B$8</f>
        <v>2250</v>
      </c>
      <c r="J13" s="23" t="n">
        <f aca="false">Vstupy!$B$36</f>
        <v>129.75</v>
      </c>
      <c r="K13" s="23" t="n">
        <f aca="false">(I13+J13)/Vstupy!$B$45</f>
        <v>4331.17864717296</v>
      </c>
      <c r="L13" s="16" t="n">
        <f aca="false">MAX(CEILING(K13,Vstupy!$B$14),Vstupy!$B$13)</f>
        <v>4340</v>
      </c>
      <c r="M13" s="23" t="n">
        <f aca="false">L13/H13</f>
        <v>578.666666666667</v>
      </c>
      <c r="N13" s="24" t="n">
        <f aca="false">I13/L13</f>
        <v>0.518433179723502</v>
      </c>
      <c r="O13" s="23" t="n">
        <f aca="false">L13-L13*(Vstupy!$B$41+Vstupy!$B$35)-I13-J13</f>
        <v>786.046859504132</v>
      </c>
      <c r="P13" s="24" t="n">
        <f aca="false">O13/L13</f>
        <v>0.181116787904178</v>
      </c>
      <c r="Q13" s="20" t="str">
        <f aca="false">IF(P13&gt;=Vstupy!$B$12-0.001,"OK","POD CÍLEM")</f>
        <v>OK</v>
      </c>
      <c r="R13" s="25" t="n">
        <v>2990</v>
      </c>
      <c r="S13" s="24" t="n">
        <f aca="false">L13/R13-1</f>
        <v>0.451505016722408</v>
      </c>
    </row>
    <row r="14" customFormat="false" ht="15" hidden="false" customHeight="false" outlineLevel="0" collapsed="false">
      <c r="A14" s="26" t="s">
        <v>132</v>
      </c>
      <c r="B14" s="26" t="s">
        <v>133</v>
      </c>
      <c r="C14" s="6" t="n">
        <v>120</v>
      </c>
      <c r="D14" s="6" t="n">
        <v>180</v>
      </c>
      <c r="E14" s="27" t="n">
        <f aca="false">AVERAGE(C14:D14)</f>
        <v>150</v>
      </c>
      <c r="F14" s="26" t="s">
        <v>125</v>
      </c>
      <c r="G14" s="28" t="n">
        <f aca="false">IF(F14="DEEP",Vstupy!$B$22,Vstupy!$B$21)</f>
        <v>5</v>
      </c>
      <c r="H14" s="29" t="n">
        <f aca="false">E14*G14/60</f>
        <v>12.5</v>
      </c>
      <c r="I14" s="30" t="n">
        <f aca="false">H14*Vstupy!$B$8</f>
        <v>3750</v>
      </c>
      <c r="J14" s="30" t="n">
        <f aca="false">Vstupy!$B$36</f>
        <v>129.75</v>
      </c>
      <c r="K14" s="30" t="n">
        <f aca="false">(I14+J14)/Vstupy!$B$45</f>
        <v>7061.19985560218</v>
      </c>
      <c r="L14" s="16" t="n">
        <f aca="false">MAX(CEILING(K14,Vstupy!$B$14),Vstupy!$B$13)</f>
        <v>7070</v>
      </c>
      <c r="M14" s="30" t="n">
        <f aca="false">L14/H14</f>
        <v>565.6</v>
      </c>
      <c r="N14" s="31" t="n">
        <f aca="false">I14/L14</f>
        <v>0.53041018387553</v>
      </c>
      <c r="O14" s="30" t="n">
        <f aca="false">L14-L14*(Vstupy!$B$41+Vstupy!$B$35)-I14-J14</f>
        <v>1277.43520661157</v>
      </c>
      <c r="P14" s="31" t="n">
        <f aca="false">O14/L14</f>
        <v>0.180683904754112</v>
      </c>
      <c r="Q14" s="27" t="str">
        <f aca="false">IF(P14&gt;=Vstupy!$B$12-0.001,"OK","POD CÍLEM")</f>
        <v>OK</v>
      </c>
      <c r="R14" s="32" t="n">
        <v>5290</v>
      </c>
      <c r="S14" s="31" t="n">
        <f aca="false">L14/R14-1</f>
        <v>0.33648393194707</v>
      </c>
    </row>
    <row r="15" customFormat="false" ht="15" hidden="false" customHeight="false" outlineLevel="0" collapsed="false">
      <c r="A15" s="7" t="s">
        <v>134</v>
      </c>
      <c r="H15" s="33" t="n">
        <f aca="false">AVERAGE(H5:H14)</f>
        <v>5.4</v>
      </c>
      <c r="I15" s="8" t="n">
        <f aca="false">AVERAGE(I5:I14)</f>
        <v>1620</v>
      </c>
      <c r="L15" s="8" t="n">
        <f aca="false">AVERAGE(L5:L14)</f>
        <v>3191</v>
      </c>
      <c r="M15" s="8" t="n">
        <f aca="false">AVERAGE(M5:M14)</f>
        <v>610.890742921222</v>
      </c>
      <c r="N15" s="12" t="n">
        <f aca="false">AVERAGE(N5:N14)</f>
        <v>0.493166670735433</v>
      </c>
      <c r="O15" s="8" t="n">
        <f aca="false">AVERAGE(O5:O14)</f>
        <v>577.913082644628</v>
      </c>
      <c r="P15" s="12" t="n">
        <f aca="false">AVERAGE(P5:P14)</f>
        <v>0.181521471578963</v>
      </c>
      <c r="R15" s="8" t="n">
        <f aca="false">AVERAGE(R5:R14)</f>
        <v>2420</v>
      </c>
      <c r="S15" s="12" t="n">
        <f aca="false">AVERAGE(S5:S14)</f>
        <v>0.335647145906994</v>
      </c>
    </row>
    <row r="17" customFormat="false" ht="15" hidden="false" customHeight="false" outlineLevel="0" collapsed="false">
      <c r="A17" s="2" t="s">
        <v>135</v>
      </c>
    </row>
    <row r="18" customFormat="false" ht="15" hidden="false" customHeight="false" outlineLevel="0" collapsed="false">
      <c r="A18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31.5" hidden="false" customHeight="true" outlineLevel="0" collapsed="false">
      <c r="A4" s="17" t="s">
        <v>139</v>
      </c>
      <c r="B4" s="17" t="s">
        <v>140</v>
      </c>
      <c r="C4" s="17" t="s">
        <v>141</v>
      </c>
      <c r="D4" s="17" t="s">
        <v>85</v>
      </c>
      <c r="E4" s="17" t="s">
        <v>142</v>
      </c>
      <c r="F4" s="17" t="s">
        <v>143</v>
      </c>
      <c r="G4" s="17" t="s">
        <v>117</v>
      </c>
      <c r="H4" s="17" t="s">
        <v>118</v>
      </c>
      <c r="I4" s="17" t="s">
        <v>120</v>
      </c>
      <c r="J4" s="17" t="s">
        <v>121</v>
      </c>
      <c r="K4" s="17" t="s">
        <v>144</v>
      </c>
      <c r="L4" s="17" t="s">
        <v>145</v>
      </c>
      <c r="M4" s="17" t="s">
        <v>146</v>
      </c>
    </row>
    <row r="5" customFormat="false" ht="15" hidden="false" customHeight="false" outlineLevel="0" collapsed="false">
      <c r="A5" s="27" t="s">
        <v>147</v>
      </c>
      <c r="B5" s="34" t="n">
        <v>0.5</v>
      </c>
      <c r="C5" s="32" t="n">
        <v>30</v>
      </c>
      <c r="D5" s="30" t="n">
        <f aca="false">B5*Vstupy!$B$8</f>
        <v>150</v>
      </c>
      <c r="E5" s="30" t="n">
        <f aca="false">(D5+C5)/Vstupy!$B$45</f>
        <v>327.602545011507</v>
      </c>
      <c r="F5" s="16" t="n">
        <f aca="false">CEILING(E5,Vstupy!$B$14)</f>
        <v>330</v>
      </c>
      <c r="G5" s="30" t="n">
        <f aca="false">F5-F5*(Vstupy!$B$41+Vstupy!$B$35)-D5-C5</f>
        <v>60.7172727272727</v>
      </c>
      <c r="H5" s="31" t="n">
        <f aca="false">G5/F5</f>
        <v>0.18399173553719</v>
      </c>
      <c r="I5" s="32" t="n">
        <v>320</v>
      </c>
      <c r="J5" s="31" t="n">
        <f aca="false">F5/I5-1</f>
        <v>0.03125</v>
      </c>
      <c r="K5" s="16" t="n">
        <f aca="false">MAX(F5,I5)</f>
        <v>330</v>
      </c>
      <c r="L5" s="31" t="n">
        <f aca="false">(K5-K5*(Vstupy!$B$41+Vstupy!$B$35)-D5-C5)/K5</f>
        <v>0.18399173553719</v>
      </c>
      <c r="M5" s="2"/>
    </row>
    <row r="6" customFormat="false" ht="15" hidden="false" customHeight="false" outlineLevel="0" collapsed="false">
      <c r="A6" s="27" t="s">
        <v>148</v>
      </c>
      <c r="B6" s="34" t="n">
        <v>0.75</v>
      </c>
      <c r="C6" s="32" t="n">
        <v>60</v>
      </c>
      <c r="D6" s="30" t="n">
        <f aca="false">B6*Vstupy!$B$8</f>
        <v>225</v>
      </c>
      <c r="E6" s="30" t="n">
        <f aca="false">(D6+C6)/Vstupy!$B$45</f>
        <v>518.704029601552</v>
      </c>
      <c r="F6" s="16" t="n">
        <f aca="false">CEILING(E6,Vstupy!$B$14)</f>
        <v>520</v>
      </c>
      <c r="G6" s="30" t="n">
        <f aca="false">F6-F6*(Vstupy!$B$41+Vstupy!$B$35)-D6-C6</f>
        <v>94.3120661157025</v>
      </c>
      <c r="H6" s="31" t="n">
        <f aca="false">G6/F6</f>
        <v>0.181369357914812</v>
      </c>
      <c r="I6" s="32" t="n">
        <v>420</v>
      </c>
      <c r="J6" s="31" t="n">
        <f aca="false">F6/I6-1</f>
        <v>0.238095238095238</v>
      </c>
      <c r="K6" s="16" t="n">
        <f aca="false">MAX(F6,I6)</f>
        <v>520</v>
      </c>
      <c r="L6" s="31" t="n">
        <f aca="false">(K6-K6*(Vstupy!$B$41+Vstupy!$B$35)-D6-C6)/K6</f>
        <v>0.181369357914812</v>
      </c>
      <c r="M6" s="2"/>
    </row>
    <row r="7" customFormat="false" ht="15" hidden="false" customHeight="false" outlineLevel="0" collapsed="false">
      <c r="A7" s="27" t="s">
        <v>149</v>
      </c>
      <c r="B7" s="34" t="n">
        <v>1</v>
      </c>
      <c r="C7" s="32" t="n">
        <v>5</v>
      </c>
      <c r="D7" s="30" t="n">
        <f aca="false">B7*Vstupy!$B$8</f>
        <v>300</v>
      </c>
      <c r="E7" s="30" t="n">
        <f aca="false">(D7+C7)/Vstupy!$B$45</f>
        <v>555.104312380609</v>
      </c>
      <c r="F7" s="16" t="n">
        <f aca="false">CEILING(E7,Vstupy!$B$14)</f>
        <v>560</v>
      </c>
      <c r="G7" s="30" t="n">
        <f aca="false">F7-F7*(Vstupy!$B$41+Vstupy!$B$35)-D7-C7</f>
        <v>103.489917355372</v>
      </c>
      <c r="H7" s="31" t="n">
        <f aca="false">G7/F7</f>
        <v>0.184803423848878</v>
      </c>
      <c r="I7" s="32" t="n">
        <v>220</v>
      </c>
      <c r="J7" s="31" t="n">
        <f aca="false">F7/I7-1</f>
        <v>1.54545454545455</v>
      </c>
      <c r="K7" s="16" t="n">
        <f aca="false">MAX(F7,I7)</f>
        <v>560</v>
      </c>
      <c r="L7" s="31" t="n">
        <f aca="false">(K7-K7*(Vstupy!$B$41+Vstupy!$B$35)-D7-C7)/K7</f>
        <v>0.184803423848878</v>
      </c>
      <c r="M7" s="2" t="s">
        <v>150</v>
      </c>
    </row>
    <row r="8" customFormat="false" ht="15" hidden="false" customHeight="false" outlineLevel="0" collapsed="false">
      <c r="A8" s="27" t="s">
        <v>151</v>
      </c>
      <c r="B8" s="34" t="n">
        <v>1.5</v>
      </c>
      <c r="C8" s="32" t="n">
        <v>120</v>
      </c>
      <c r="D8" s="30" t="n">
        <f aca="false">B8*Vstupy!$B$8</f>
        <v>450</v>
      </c>
      <c r="E8" s="30" t="n">
        <f aca="false">(D8+C8)/Vstupy!$B$45</f>
        <v>1037.4080592031</v>
      </c>
      <c r="F8" s="16" t="n">
        <f aca="false">CEILING(E8,Vstupy!$B$14)</f>
        <v>1040</v>
      </c>
      <c r="G8" s="30" t="n">
        <f aca="false">F8-F8*(Vstupy!$B$41+Vstupy!$B$35)-D8-C8</f>
        <v>188.624132231405</v>
      </c>
      <c r="H8" s="31" t="n">
        <f aca="false">G8/F8</f>
        <v>0.181369357914812</v>
      </c>
      <c r="I8" s="32" t="n">
        <v>1400</v>
      </c>
      <c r="J8" s="31" t="n">
        <f aca="false">F8/I8-1</f>
        <v>-0.257142857142857</v>
      </c>
      <c r="K8" s="16" t="n">
        <f aca="false">MAX(F8,I8)</f>
        <v>1400</v>
      </c>
      <c r="L8" s="31" t="n">
        <f aca="false">(K8-K8*(Vstupy!$B$41+Vstupy!$B$35)-D8-C8)/K8</f>
        <v>0.322303423848878</v>
      </c>
      <c r="M8" s="2" t="s">
        <v>152</v>
      </c>
    </row>
    <row r="9" customFormat="false" ht="15" hidden="false" customHeight="false" outlineLevel="0" collapsed="false">
      <c r="A9" s="27" t="s">
        <v>153</v>
      </c>
      <c r="B9" s="34" t="n">
        <v>0.75</v>
      </c>
      <c r="C9" s="32" t="n">
        <v>60</v>
      </c>
      <c r="D9" s="30" t="n">
        <f aca="false">B9*Vstupy!$B$8</f>
        <v>225</v>
      </c>
      <c r="E9" s="30" t="n">
        <f aca="false">(D9+C9)/Vstupy!$B$45</f>
        <v>518.704029601552</v>
      </c>
      <c r="F9" s="16" t="n">
        <f aca="false">CEILING(E9,Vstupy!$B$14)</f>
        <v>520</v>
      </c>
      <c r="G9" s="30" t="n">
        <f aca="false">F9-F9*(Vstupy!$B$41+Vstupy!$B$35)-D9-C9</f>
        <v>94.3120661157025</v>
      </c>
      <c r="H9" s="31" t="n">
        <f aca="false">G9/F9</f>
        <v>0.181369357914812</v>
      </c>
      <c r="I9" s="32" t="n">
        <v>790</v>
      </c>
      <c r="J9" s="31" t="n">
        <f aca="false">F9/I9-1</f>
        <v>-0.341772151898734</v>
      </c>
      <c r="K9" s="16" t="n">
        <f aca="false">MAX(F9,I9)</f>
        <v>790</v>
      </c>
      <c r="L9" s="31" t="n">
        <f aca="false">(K9-K9*(Vstupy!$B$41+Vstupy!$B$35)-D9-C9)/K9</f>
        <v>0.36868678732085</v>
      </c>
      <c r="M9" s="2"/>
    </row>
    <row r="10" customFormat="false" ht="15" hidden="false" customHeight="false" outlineLevel="0" collapsed="false">
      <c r="A10" s="27" t="s">
        <v>154</v>
      </c>
      <c r="B10" s="34" t="n">
        <v>0.75</v>
      </c>
      <c r="C10" s="32" t="n">
        <v>120</v>
      </c>
      <c r="D10" s="30" t="n">
        <f aca="false">B10*Vstupy!$B$8</f>
        <v>225</v>
      </c>
      <c r="E10" s="30" t="n">
        <f aca="false">(D10+C10)/Vstupy!$B$45</f>
        <v>627.904877938721</v>
      </c>
      <c r="F10" s="16" t="n">
        <f aca="false">CEILING(E10,Vstupy!$B$14)</f>
        <v>630</v>
      </c>
      <c r="G10" s="30" t="n">
        <f aca="false">F10-F10*(Vstupy!$B$41+Vstupy!$B$35)-D10-C10</f>
        <v>114.551157024793</v>
      </c>
      <c r="H10" s="31" t="n">
        <f aca="false">G10/F10</f>
        <v>0.181827233372688</v>
      </c>
      <c r="I10" s="32" t="n">
        <v>590</v>
      </c>
      <c r="J10" s="31" t="n">
        <f aca="false">F10/I10-1</f>
        <v>0.0677966101694916</v>
      </c>
      <c r="K10" s="16" t="n">
        <f aca="false">MAX(F10,I10)</f>
        <v>630</v>
      </c>
      <c r="L10" s="31" t="n">
        <f aca="false">(K10-K10*(Vstupy!$B$41+Vstupy!$B$35)-D10-C10)/K10</f>
        <v>0.181827233372688</v>
      </c>
      <c r="M10" s="2"/>
    </row>
    <row r="11" customFormat="false" ht="15" hidden="false" customHeight="false" outlineLevel="0" collapsed="false">
      <c r="A11" s="27" t="s">
        <v>155</v>
      </c>
      <c r="B11" s="34" t="n">
        <v>1</v>
      </c>
      <c r="C11" s="32" t="n">
        <v>100</v>
      </c>
      <c r="D11" s="30" t="n">
        <f aca="false">B11*Vstupy!$B$8</f>
        <v>300</v>
      </c>
      <c r="E11" s="30" t="n">
        <f aca="false">(D11+C11)/Vstupy!$B$45</f>
        <v>728.005655581126</v>
      </c>
      <c r="F11" s="16" t="n">
        <f aca="false">CEILING(E11,Vstupy!$B$14)</f>
        <v>730</v>
      </c>
      <c r="G11" s="30" t="n">
        <f aca="false">F11-F11*(Vstupy!$B$41+Vstupy!$B$35)-D11-C11</f>
        <v>132.495785123967</v>
      </c>
      <c r="H11" s="31" t="n">
        <f aca="false">G11/F11</f>
        <v>0.181501075512283</v>
      </c>
      <c r="I11" s="32" t="n">
        <v>1690</v>
      </c>
      <c r="J11" s="31" t="n">
        <f aca="false">F11/I11-1</f>
        <v>-0.568047337278107</v>
      </c>
      <c r="K11" s="16" t="n">
        <f aca="false">MAX(F11,I11)</f>
        <v>1690</v>
      </c>
      <c r="L11" s="31" t="n">
        <f aca="false">(K11-K11*(Vstupy!$B$41+Vstupy!$B$35)-D11-C11)/K11</f>
        <v>0.492759890459191</v>
      </c>
      <c r="M11" s="2" t="s">
        <v>156</v>
      </c>
    </row>
    <row r="12" customFormat="false" ht="15" hidden="false" customHeight="false" outlineLevel="0" collapsed="false">
      <c r="A12" s="27" t="s">
        <v>157</v>
      </c>
      <c r="B12" s="34" t="n">
        <v>1</v>
      </c>
      <c r="C12" s="32" t="n">
        <v>20</v>
      </c>
      <c r="D12" s="30" t="n">
        <f aca="false">B12*Vstupy!$B$8</f>
        <v>300</v>
      </c>
      <c r="E12" s="30" t="n">
        <f aca="false">(D12+C12)/Vstupy!$B$45</f>
        <v>582.404524464901</v>
      </c>
      <c r="F12" s="16" t="n">
        <f aca="false">CEILING(E12,Vstupy!$B$14)</f>
        <v>590</v>
      </c>
      <c r="G12" s="30" t="n">
        <f aca="false">F12-F12*(Vstupy!$B$41+Vstupy!$B$35)-D12-C12</f>
        <v>110.373305785124</v>
      </c>
      <c r="H12" s="31" t="n">
        <f aca="false">G12/F12</f>
        <v>0.187073399635803</v>
      </c>
      <c r="I12" s="32" t="n">
        <v>450</v>
      </c>
      <c r="J12" s="31" t="n">
        <f aca="false">F12/I12-1</f>
        <v>0.311111111111111</v>
      </c>
      <c r="K12" s="16" t="n">
        <f aca="false">MAX(F12,I12)</f>
        <v>590</v>
      </c>
      <c r="L12" s="31" t="n">
        <f aca="false">(K12-K12*(Vstupy!$B$41+Vstupy!$B$35)-D12-C12)/K12</f>
        <v>0.187073399635803</v>
      </c>
      <c r="M12" s="2"/>
    </row>
    <row r="13" customFormat="false" ht="15" hidden="false" customHeight="false" outlineLevel="0" collapsed="false">
      <c r="A13" s="27" t="s">
        <v>158</v>
      </c>
      <c r="B13" s="34" t="n">
        <v>1.5</v>
      </c>
      <c r="C13" s="32" t="n">
        <v>40</v>
      </c>
      <c r="D13" s="30" t="n">
        <f aca="false">B13*Vstupy!$B$8</f>
        <v>450</v>
      </c>
      <c r="E13" s="30" t="n">
        <f aca="false">(D13+C13)/Vstupy!$B$45</f>
        <v>891.806928086879</v>
      </c>
      <c r="F13" s="16" t="n">
        <f aca="false">CEILING(E13,Vstupy!$B$14)</f>
        <v>900</v>
      </c>
      <c r="G13" s="30" t="n">
        <f aca="false">F13-F13*(Vstupy!$B$41+Vstupy!$B$35)-D13-C13</f>
        <v>166.501652892562</v>
      </c>
      <c r="H13" s="31" t="n">
        <f aca="false">G13/F13</f>
        <v>0.185001836547291</v>
      </c>
      <c r="I13" s="32" t="n">
        <v>990</v>
      </c>
      <c r="J13" s="31" t="n">
        <f aca="false">F13/I13-1</f>
        <v>-0.0909090909090909</v>
      </c>
      <c r="K13" s="16" t="n">
        <f aca="false">MAX(F13,I13)</f>
        <v>990</v>
      </c>
      <c r="L13" s="31" t="n">
        <f aca="false">(K13-K13*(Vstupy!$B$41+Vstupy!$B$35)-D13-C13)/K13</f>
        <v>0.234496786042241</v>
      </c>
      <c r="M13" s="2"/>
    </row>
    <row r="15" customFormat="false" ht="15" hidden="false" customHeight="false" outlineLevel="0" collapsed="false">
      <c r="A15" s="2" t="s">
        <v>159</v>
      </c>
    </row>
    <row r="16" customFormat="false" ht="15" hidden="false" customHeight="false" outlineLevel="0" collapsed="false">
      <c r="A16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31.5" hidden="false" customHeight="true" outlineLevel="0" collapsed="false">
      <c r="A4" s="17" t="s">
        <v>163</v>
      </c>
      <c r="B4" s="17" t="s">
        <v>164</v>
      </c>
      <c r="C4" s="17" t="s">
        <v>141</v>
      </c>
      <c r="D4" s="17" t="s">
        <v>85</v>
      </c>
      <c r="E4" s="17" t="s">
        <v>114</v>
      </c>
      <c r="F4" s="17" t="s">
        <v>118</v>
      </c>
      <c r="G4" s="17" t="s">
        <v>120</v>
      </c>
      <c r="H4" s="17" t="s">
        <v>146</v>
      </c>
    </row>
    <row r="5" customFormat="false" ht="15" hidden="false" customHeight="false" outlineLevel="0" collapsed="false">
      <c r="A5" s="27" t="s">
        <v>165</v>
      </c>
      <c r="B5" s="6" t="n">
        <v>35</v>
      </c>
      <c r="C5" s="32" t="n">
        <v>5</v>
      </c>
      <c r="D5" s="30" t="n">
        <f aca="false">B5/60*Vstupy!$B$8</f>
        <v>175</v>
      </c>
      <c r="E5" s="16" t="n">
        <f aca="false">CEILING((D5+C5)/Vstupy!$B$45,Vstupy!$B$14)</f>
        <v>330</v>
      </c>
      <c r="F5" s="31" t="n">
        <f aca="false">(E5-E5*(Vstupy!$B$41+Vstupy!$B$35)-D5-C5)/E5</f>
        <v>0.18399173553719</v>
      </c>
      <c r="G5" s="32" t="n">
        <v>220</v>
      </c>
      <c r="H5" s="2"/>
    </row>
    <row r="6" customFormat="false" ht="15" hidden="false" customHeight="false" outlineLevel="0" collapsed="false">
      <c r="A6" s="27" t="s">
        <v>166</v>
      </c>
      <c r="B6" s="6" t="n">
        <v>60</v>
      </c>
      <c r="C6" s="32" t="n">
        <v>10</v>
      </c>
      <c r="D6" s="30" t="n">
        <f aca="false">B6/60*Vstupy!$B$8</f>
        <v>300</v>
      </c>
      <c r="E6" s="16" t="n">
        <f aca="false">CEILING((D6+C6)/Vstupy!$B$45,Vstupy!$B$14)</f>
        <v>570</v>
      </c>
      <c r="F6" s="31" t="n">
        <f aca="false">(E6-E6*(Vstupy!$B$41+Vstupy!$B$35)-D6-C6)/E6</f>
        <v>0.185586631868929</v>
      </c>
      <c r="G6" s="32" t="n">
        <v>380</v>
      </c>
      <c r="H6" s="2"/>
    </row>
    <row r="7" customFormat="false" ht="15" hidden="false" customHeight="false" outlineLevel="0" collapsed="false">
      <c r="A7" s="27" t="s">
        <v>167</v>
      </c>
      <c r="B7" s="6" t="n">
        <v>45</v>
      </c>
      <c r="C7" s="32" t="n">
        <v>10</v>
      </c>
      <c r="D7" s="30" t="n">
        <f aca="false">B7/60*Vstupy!$B$8</f>
        <v>225</v>
      </c>
      <c r="E7" s="16" t="n">
        <f aca="false">CEILING((D7+C7)/Vstupy!$B$45,Vstupy!$B$14)</f>
        <v>430</v>
      </c>
      <c r="F7" s="31" t="n">
        <f aca="false">(E7-E7*(Vstupy!$B$41+Vstupy!$B$35)-D7-C7)/E7</f>
        <v>0.182934653084759</v>
      </c>
      <c r="G7" s="32" t="n">
        <v>290</v>
      </c>
      <c r="H7" s="2"/>
    </row>
    <row r="8" customFormat="false" ht="15" hidden="false" customHeight="false" outlineLevel="0" collapsed="false">
      <c r="A8" s="27" t="s">
        <v>168</v>
      </c>
      <c r="B8" s="6" t="n">
        <v>80</v>
      </c>
      <c r="C8" s="32" t="n">
        <v>20</v>
      </c>
      <c r="D8" s="30" t="n">
        <f aca="false">B8/60*Vstupy!$B$8</f>
        <v>400</v>
      </c>
      <c r="E8" s="16" t="n">
        <f aca="false">CEILING((D8+C8)/Vstupy!$B$45,Vstupy!$B$14)</f>
        <v>770</v>
      </c>
      <c r="F8" s="31" t="n">
        <f aca="false">(E8-E8*(Vstupy!$B$41+Vstupy!$B$35)-D8-C8)/E8</f>
        <v>0.18399173553719</v>
      </c>
      <c r="G8" s="32" t="n">
        <v>520</v>
      </c>
      <c r="H8" s="2"/>
    </row>
    <row r="9" customFormat="false" ht="15" hidden="false" customHeight="false" outlineLevel="0" collapsed="false">
      <c r="A9" s="27" t="s">
        <v>169</v>
      </c>
      <c r="B9" s="6" t="n">
        <v>55</v>
      </c>
      <c r="C9" s="32" t="n">
        <v>15</v>
      </c>
      <c r="D9" s="30" t="n">
        <f aca="false">B9/60*Vstupy!$B$8</f>
        <v>275</v>
      </c>
      <c r="E9" s="16" t="n">
        <f aca="false">CEILING((D9+C9)/Vstupy!$B$45,Vstupy!$B$14)</f>
        <v>530</v>
      </c>
      <c r="F9" s="31" t="n">
        <f aca="false">(E9-E9*(Vstupy!$B$41+Vstupy!$B$35)-D9-C9)/E9</f>
        <v>0.182276469670981</v>
      </c>
      <c r="G9" s="32" t="n">
        <v>390</v>
      </c>
      <c r="H9" s="2"/>
    </row>
    <row r="10" customFormat="false" ht="15" hidden="false" customHeight="false" outlineLevel="0" collapsed="false">
      <c r="A10" s="27" t="s">
        <v>170</v>
      </c>
      <c r="B10" s="6" t="n">
        <v>100</v>
      </c>
      <c r="C10" s="32" t="n">
        <v>25</v>
      </c>
      <c r="D10" s="30" t="n">
        <f aca="false">B10/60*Vstupy!$B$8</f>
        <v>500</v>
      </c>
      <c r="E10" s="16" t="n">
        <f aca="false">CEILING((D10+C10)/Vstupy!$B$45,Vstupy!$B$14)</f>
        <v>960</v>
      </c>
      <c r="F10" s="31" t="n">
        <f aca="false">(E10-E10*(Vstupy!$B$41+Vstupy!$B$35)-D10-C10)/E10</f>
        <v>0.182571280991736</v>
      </c>
      <c r="G10" s="32" t="n">
        <v>720</v>
      </c>
      <c r="H10" s="2"/>
    </row>
    <row r="11" customFormat="false" ht="15" hidden="false" customHeight="false" outlineLevel="0" collapsed="false">
      <c r="A11" s="27" t="s">
        <v>171</v>
      </c>
      <c r="B11" s="6" t="n">
        <v>20</v>
      </c>
      <c r="C11" s="32" t="n">
        <v>5</v>
      </c>
      <c r="D11" s="30" t="n">
        <f aca="false">B11/60*Vstupy!$B$8</f>
        <v>100</v>
      </c>
      <c r="E11" s="16" t="n">
        <f aca="false">CEILING((D11+C11)/Vstupy!$B$45,Vstupy!$B$14)</f>
        <v>200</v>
      </c>
      <c r="F11" s="31" t="n">
        <f aca="false">(E11-E11*(Vstupy!$B$41+Vstupy!$B$35)-D11-C11)/E11</f>
        <v>0.204446280991736</v>
      </c>
      <c r="G11" s="32" t="n">
        <v>140</v>
      </c>
      <c r="H11" s="2"/>
    </row>
    <row r="12" customFormat="false" ht="15" hidden="false" customHeight="false" outlineLevel="0" collapsed="false">
      <c r="A12" s="27" t="s">
        <v>172</v>
      </c>
      <c r="B12" s="6" t="n">
        <v>25</v>
      </c>
      <c r="C12" s="32" t="n">
        <v>5</v>
      </c>
      <c r="D12" s="30" t="n">
        <f aca="false">B12/60*Vstupy!$B$8</f>
        <v>125</v>
      </c>
      <c r="E12" s="16" t="n">
        <f aca="false">CEILING((D12+C12)/Vstupy!$B$45,Vstupy!$B$14)</f>
        <v>240</v>
      </c>
      <c r="F12" s="31" t="n">
        <f aca="false">(E12-E12*(Vstupy!$B$41+Vstupy!$B$35)-D12-C12)/E12</f>
        <v>0.187779614325069</v>
      </c>
      <c r="G12" s="32" t="n">
        <v>180</v>
      </c>
      <c r="H12" s="2"/>
    </row>
    <row r="13" customFormat="false" ht="15" hidden="false" customHeight="false" outlineLevel="0" collapsed="false">
      <c r="A13" s="27" t="s">
        <v>173</v>
      </c>
      <c r="B13" s="6" t="n">
        <v>20</v>
      </c>
      <c r="C13" s="32" t="n">
        <v>0</v>
      </c>
      <c r="D13" s="30" t="n">
        <f aca="false">B13/60*Vstupy!$B$8</f>
        <v>100</v>
      </c>
      <c r="E13" s="16" t="n">
        <f aca="false">CEILING((D13+C13)/Vstupy!$B$45,Vstupy!$B$14)</f>
        <v>190</v>
      </c>
      <c r="F13" s="31" t="n">
        <f aca="false">(E13-E13*(Vstupy!$B$41+Vstupy!$B$35)-D13-C13)/E13</f>
        <v>0.203130491518051</v>
      </c>
      <c r="G13" s="32" t="n">
        <v>150</v>
      </c>
      <c r="H13" s="2" t="s">
        <v>174</v>
      </c>
    </row>
    <row r="15" customFormat="false" ht="15" hidden="false" customHeight="false" outlineLevel="0" collapsed="false">
      <c r="A15" s="3" t="s">
        <v>175</v>
      </c>
    </row>
    <row r="16" customFormat="false" ht="31.5" hidden="false" customHeight="true" outlineLevel="0" collapsed="false">
      <c r="A16" s="17" t="s">
        <v>176</v>
      </c>
      <c r="B16" s="17" t="s">
        <v>177</v>
      </c>
      <c r="C16" s="17" t="s">
        <v>178</v>
      </c>
      <c r="D16" s="17" t="s">
        <v>146</v>
      </c>
    </row>
    <row r="17" customFormat="false" ht="15" hidden="false" customHeight="false" outlineLevel="0" collapsed="false">
      <c r="A17" s="27" t="s">
        <v>179</v>
      </c>
      <c r="B17" s="11" t="n">
        <v>0.2</v>
      </c>
      <c r="C17" s="27" t="s">
        <v>180</v>
      </c>
      <c r="D17" s="35" t="s">
        <v>181</v>
      </c>
    </row>
    <row r="18" customFormat="false" ht="15" hidden="false" customHeight="false" outlineLevel="0" collapsed="false">
      <c r="A18" s="27" t="s">
        <v>182</v>
      </c>
      <c r="B18" s="11" t="n">
        <v>0.25</v>
      </c>
      <c r="C18" s="27" t="s">
        <v>183</v>
      </c>
      <c r="D18" s="35" t="s">
        <v>184</v>
      </c>
    </row>
    <row r="19" customFormat="false" ht="15" hidden="false" customHeight="false" outlineLevel="0" collapsed="false">
      <c r="A19" s="27" t="s">
        <v>185</v>
      </c>
      <c r="B19" s="11" t="n">
        <v>0.3</v>
      </c>
      <c r="C19" s="27" t="s">
        <v>183</v>
      </c>
      <c r="D19" s="35" t="s">
        <v>186</v>
      </c>
    </row>
    <row r="20" customFormat="false" ht="15" hidden="false" customHeight="false" outlineLevel="0" collapsed="false">
      <c r="A20" s="27" t="s">
        <v>187</v>
      </c>
      <c r="B20" s="11" t="n">
        <v>0.25</v>
      </c>
      <c r="C20" s="27" t="s">
        <v>188</v>
      </c>
      <c r="D20" s="35" t="s">
        <v>189</v>
      </c>
    </row>
    <row r="22" customFormat="false" ht="15" hidden="false" customHeight="false" outlineLevel="0" collapsed="false">
      <c r="A22" s="2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3" t="s">
        <v>193</v>
      </c>
    </row>
    <row r="5" customFormat="false" ht="15" hidden="false" customHeight="false" outlineLevel="0" collapsed="false">
      <c r="A5" s="4" t="s">
        <v>79</v>
      </c>
      <c r="B5" s="36" t="n">
        <v>90</v>
      </c>
    </row>
    <row r="6" customFormat="false" ht="15" hidden="false" customHeight="false" outlineLevel="0" collapsed="false">
      <c r="A6" s="4" t="s">
        <v>194</v>
      </c>
      <c r="B6" s="6" t="s">
        <v>125</v>
      </c>
    </row>
    <row r="9" customFormat="false" ht="31.5" hidden="false" customHeight="true" outlineLevel="0" collapsed="false">
      <c r="A9" s="17" t="s">
        <v>195</v>
      </c>
      <c r="B9" s="17" t="s">
        <v>196</v>
      </c>
      <c r="C9" s="17" t="s">
        <v>197</v>
      </c>
      <c r="D9" s="17" t="s">
        <v>198</v>
      </c>
      <c r="E9" s="17" t="s">
        <v>199</v>
      </c>
      <c r="F9" s="17" t="s">
        <v>114</v>
      </c>
      <c r="G9" s="17" t="s">
        <v>117</v>
      </c>
      <c r="H9" s="17" t="s">
        <v>118</v>
      </c>
      <c r="I9" s="17" t="s">
        <v>115</v>
      </c>
      <c r="J9" s="17" t="s">
        <v>200</v>
      </c>
    </row>
    <row r="10" customFormat="false" ht="15" hidden="false" customHeight="false" outlineLevel="0" collapsed="false">
      <c r="A10" s="27" t="n">
        <v>1</v>
      </c>
      <c r="B10" s="34" t="n">
        <v>1</v>
      </c>
      <c r="C10" s="29" t="n">
        <f aca="false">$B$5*IF($B$6="DEEP",Vstupy!$B$22,Vstupy!$B$21)/(A10*B10)/60</f>
        <v>7.5</v>
      </c>
      <c r="D10" s="29" t="n">
        <f aca="false">C10*A10</f>
        <v>7.5</v>
      </c>
      <c r="E10" s="30" t="n">
        <f aca="false">D10*Vstupy!$B$8</f>
        <v>2250</v>
      </c>
      <c r="F10" s="16" t="n">
        <f aca="false">MAX(CEILING((E10+Vstupy!$B$36)/Vstupy!$B$45,Vstupy!$B$14),Vstupy!$B$13)</f>
        <v>4340</v>
      </c>
      <c r="G10" s="30" t="n">
        <f aca="false">F10-F10*(Vstupy!$B$41+Vstupy!$B$35)-E10-Vstupy!$B$36</f>
        <v>786.046859504132</v>
      </c>
      <c r="H10" s="31" t="n">
        <f aca="false">G10/F10</f>
        <v>0.181116787904178</v>
      </c>
      <c r="I10" s="30" t="n">
        <f aca="false">F10/C10</f>
        <v>578.666666666667</v>
      </c>
      <c r="J10" s="31" t="n">
        <f aca="false">1-C10/$C$10</f>
        <v>0</v>
      </c>
    </row>
    <row r="11" customFormat="false" ht="15" hidden="false" customHeight="false" outlineLevel="0" collapsed="false">
      <c r="A11" s="27" t="n">
        <v>2</v>
      </c>
      <c r="B11" s="34" t="n">
        <v>0.92</v>
      </c>
      <c r="C11" s="29" t="n">
        <f aca="false">$B$5*IF($B$6="DEEP",Vstupy!$B$22,Vstupy!$B$21)/(A11*B11)/60</f>
        <v>4.07608695652174</v>
      </c>
      <c r="D11" s="29" t="n">
        <f aca="false">C11*A11</f>
        <v>8.15217391304348</v>
      </c>
      <c r="E11" s="30" t="n">
        <f aca="false">D11*Vstupy!$B$8</f>
        <v>2445.65217391304</v>
      </c>
      <c r="F11" s="16" t="n">
        <f aca="false">MAX(CEILING((E11+Vstupy!$B$36)/Vstupy!$B$45,Vstupy!$B$14),Vstupy!$B$13)</f>
        <v>4690</v>
      </c>
      <c r="G11" s="30" t="n">
        <f aca="false">F11-F11*(Vstupy!$B$41+Vstupy!$B$35)-E11-Vstupy!$B$36</f>
        <v>845.700883938196</v>
      </c>
      <c r="H11" s="31" t="n">
        <f aca="false">G11/F11</f>
        <v>0.18032001789727</v>
      </c>
      <c r="I11" s="30" t="n">
        <f aca="false">F11/C11</f>
        <v>1150.61333333333</v>
      </c>
      <c r="J11" s="31" t="n">
        <f aca="false">1-C11/$C$10</f>
        <v>0.456521739130435</v>
      </c>
    </row>
    <row r="12" customFormat="false" ht="15" hidden="false" customHeight="false" outlineLevel="0" collapsed="false">
      <c r="A12" s="27" t="n">
        <v>3</v>
      </c>
      <c r="B12" s="34" t="n">
        <v>0.82</v>
      </c>
      <c r="C12" s="29" t="n">
        <f aca="false">$B$5*IF($B$6="DEEP",Vstupy!$B$22,Vstupy!$B$21)/(A12*B12)/60</f>
        <v>3.04878048780488</v>
      </c>
      <c r="D12" s="29" t="n">
        <f aca="false">C12*A12</f>
        <v>9.14634146341463</v>
      </c>
      <c r="E12" s="30" t="n">
        <f aca="false">D12*Vstupy!$B$8</f>
        <v>2743.90243902439</v>
      </c>
      <c r="F12" s="16" t="n">
        <f aca="false">MAX(CEILING((E12+Vstupy!$B$36)/Vstupy!$B$45,Vstupy!$B$14),Vstupy!$B$13)</f>
        <v>5240</v>
      </c>
      <c r="G12" s="30" t="n">
        <f aca="false">F12-F12*(Vstupy!$B$41+Vstupy!$B$35)-E12-Vstupy!$B$36</f>
        <v>948.646073372304</v>
      </c>
      <c r="H12" s="31" t="n">
        <f aca="false">G12/F12</f>
        <v>0.181039326979447</v>
      </c>
      <c r="I12" s="30" t="n">
        <f aca="false">F12/C12</f>
        <v>1718.72</v>
      </c>
      <c r="J12" s="31" t="n">
        <f aca="false">1-C12/$C$10</f>
        <v>0.59349593495935</v>
      </c>
    </row>
    <row r="13" customFormat="false" ht="15" hidden="false" customHeight="false" outlineLevel="0" collapsed="false">
      <c r="A13" s="27" t="n">
        <v>4</v>
      </c>
      <c r="B13" s="34" t="n">
        <v>0.72</v>
      </c>
      <c r="C13" s="29" t="n">
        <f aca="false">$B$5*IF($B$6="DEEP",Vstupy!$B$22,Vstupy!$B$21)/(A13*B13)/60</f>
        <v>2.60416666666667</v>
      </c>
      <c r="D13" s="29" t="n">
        <f aca="false">C13*A13</f>
        <v>10.4166666666667</v>
      </c>
      <c r="E13" s="30" t="n">
        <f aca="false">D13*Vstupy!$B$8</f>
        <v>3125</v>
      </c>
      <c r="F13" s="16" t="n">
        <f aca="false">MAX(CEILING((E13+Vstupy!$B$36)/Vstupy!$B$45,Vstupy!$B$14),Vstupy!$B$13)</f>
        <v>5930</v>
      </c>
      <c r="G13" s="30" t="n">
        <f aca="false">F13-F13*(Vstupy!$B$41+Vstupy!$B$35)-E13-Vstupy!$B$36</f>
        <v>1070.86644628099</v>
      </c>
      <c r="H13" s="31" t="n">
        <f aca="false">G13/F13</f>
        <v>0.180584560924282</v>
      </c>
      <c r="I13" s="30" t="n">
        <f aca="false">F13/C13</f>
        <v>2277.12</v>
      </c>
      <c r="J13" s="31" t="n">
        <f aca="false">1-C13/$C$10</f>
        <v>0.652777777777778</v>
      </c>
    </row>
    <row r="15" customFormat="false" ht="15" hidden="false" customHeight="false" outlineLevel="0" collapsed="false">
      <c r="A15" s="2" t="s">
        <v>201</v>
      </c>
    </row>
    <row r="16" customFormat="false" ht="15" hidden="false" customHeight="false" outlineLevel="0" collapsed="false">
      <c r="A16" s="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31.5" hidden="false" customHeight="true" outlineLevel="0" collapsed="false">
      <c r="A4" s="17" t="s">
        <v>163</v>
      </c>
      <c r="B4" s="17" t="s">
        <v>205</v>
      </c>
      <c r="C4" s="17" t="s">
        <v>206</v>
      </c>
      <c r="D4" s="17" t="s">
        <v>207</v>
      </c>
      <c r="E4" s="17" t="s">
        <v>146</v>
      </c>
    </row>
    <row r="5" customFormat="false" ht="15" hidden="false" customHeight="false" outlineLevel="0" collapsed="false">
      <c r="A5" s="4" t="s">
        <v>208</v>
      </c>
      <c r="B5" s="30" t="n">
        <f aca="false">Balíčky!L7</f>
        <v>1610</v>
      </c>
      <c r="C5" s="30" t="n">
        <f aca="false">Balíčky!L10</f>
        <v>3540</v>
      </c>
      <c r="D5" s="30" t="n">
        <f aca="false">Balíčky!L15</f>
        <v>3191</v>
      </c>
      <c r="E5" s="2" t="s">
        <v>209</v>
      </c>
    </row>
    <row r="6" customFormat="false" ht="15" hidden="false" customHeight="false" outlineLevel="0" collapsed="false">
      <c r="A6" s="4" t="s">
        <v>210</v>
      </c>
      <c r="B6" s="30" t="n">
        <f aca="false">-B5*Vstupy!$B$41</f>
        <v>-279.421487603306</v>
      </c>
      <c r="C6" s="30" t="n">
        <f aca="false">-C5*Vstupy!$B$41</f>
        <v>-614.380165289256</v>
      </c>
      <c r="D6" s="30" t="n">
        <f aca="false">-D5*Vstupy!$B$41</f>
        <v>-553.809917355372</v>
      </c>
      <c r="E6" s="2" t="s">
        <v>211</v>
      </c>
    </row>
    <row r="7" customFormat="false" ht="15" hidden="false" customHeight="false" outlineLevel="0" collapsed="false">
      <c r="A7" s="4" t="s">
        <v>212</v>
      </c>
      <c r="B7" s="30" t="n">
        <f aca="false">-B5*Vstupy!$B$28</f>
        <v>-64.4</v>
      </c>
      <c r="C7" s="30" t="n">
        <f aca="false">-C5*Vstupy!$B$28</f>
        <v>-141.6</v>
      </c>
      <c r="D7" s="30" t="n">
        <f aca="false">-D5*Vstupy!$B$28</f>
        <v>-127.64</v>
      </c>
      <c r="E7" s="2"/>
    </row>
    <row r="8" customFormat="false" ht="15" hidden="false" customHeight="false" outlineLevel="0" collapsed="false">
      <c r="A8" s="4" t="s">
        <v>213</v>
      </c>
      <c r="B8" s="30" t="n">
        <f aca="false">-B5*Vstupy!$B$26</f>
        <v>-22.54</v>
      </c>
      <c r="C8" s="30" t="n">
        <f aca="false">-C5*Vstupy!$B$26</f>
        <v>-49.56</v>
      </c>
      <c r="D8" s="30" t="n">
        <f aca="false">-D5*Vstupy!$B$26</f>
        <v>-44.674</v>
      </c>
      <c r="E8" s="2"/>
    </row>
    <row r="9" customFormat="false" ht="15" hidden="false" customHeight="false" outlineLevel="0" collapsed="false">
      <c r="A9" s="4" t="s">
        <v>214</v>
      </c>
      <c r="B9" s="30" t="n">
        <f aca="false">-B5*Vstupy!$B$29</f>
        <v>-32.2</v>
      </c>
      <c r="C9" s="30" t="n">
        <f aca="false">-C5*Vstupy!$B$29</f>
        <v>-70.8</v>
      </c>
      <c r="D9" s="30" t="n">
        <f aca="false">-D5*Vstupy!$B$29</f>
        <v>-63.82</v>
      </c>
      <c r="E9" s="2"/>
    </row>
    <row r="10" customFormat="false" ht="15" hidden="false" customHeight="false" outlineLevel="0" collapsed="false">
      <c r="A10" s="4" t="s">
        <v>215</v>
      </c>
      <c r="B10" s="30" t="n">
        <f aca="false">-B5*Vstupy!$B$30</f>
        <v>-32.2</v>
      </c>
      <c r="C10" s="30" t="n">
        <f aca="false">-C5*Vstupy!$B$30</f>
        <v>-70.8</v>
      </c>
      <c r="D10" s="30" t="n">
        <f aca="false">-D5*Vstupy!$B$30</f>
        <v>-63.82</v>
      </c>
      <c r="E10" s="2"/>
    </row>
    <row r="11" customFormat="false" ht="15" hidden="false" customHeight="false" outlineLevel="0" collapsed="false">
      <c r="A11" s="4" t="s">
        <v>216</v>
      </c>
      <c r="B11" s="30" t="n">
        <f aca="false">-B5*Vstupy!$B$31</f>
        <v>-4.83</v>
      </c>
      <c r="C11" s="30" t="n">
        <f aca="false">-C5*Vstupy!$B$31</f>
        <v>-10.62</v>
      </c>
      <c r="D11" s="30" t="n">
        <f aca="false">-D5*Vstupy!$B$31</f>
        <v>-9.573</v>
      </c>
      <c r="E11" s="2"/>
    </row>
    <row r="12" customFormat="false" ht="15" hidden="false" customHeight="false" outlineLevel="0" collapsed="false">
      <c r="A12" s="4" t="s">
        <v>217</v>
      </c>
      <c r="B12" s="30" t="n">
        <f aca="false">-Balíčky!I7</f>
        <v>-750</v>
      </c>
      <c r="C12" s="30" t="n">
        <f aca="false">-Balíčky!I10</f>
        <v>-1812.5</v>
      </c>
      <c r="D12" s="30" t="n">
        <f aca="false">-Balíčky!I15</f>
        <v>-1620</v>
      </c>
      <c r="E12" s="2" t="s">
        <v>218</v>
      </c>
    </row>
    <row r="13" customFormat="false" ht="15" hidden="false" customHeight="false" outlineLevel="0" collapsed="false">
      <c r="A13" s="4" t="s">
        <v>219</v>
      </c>
      <c r="B13" s="30" t="n">
        <f aca="false">-Vstupy!$B$36</f>
        <v>-129.75</v>
      </c>
      <c r="C13" s="30" t="n">
        <f aca="false">-Vstupy!$B$36</f>
        <v>-129.75</v>
      </c>
      <c r="D13" s="30" t="n">
        <f aca="false">-Vstupy!$B$36</f>
        <v>-129.75</v>
      </c>
      <c r="E13" s="2"/>
    </row>
    <row r="14" customFormat="false" ht="15" hidden="false" customHeight="false" outlineLevel="0" collapsed="false">
      <c r="A14" s="7" t="s">
        <v>220</v>
      </c>
      <c r="B14" s="16" t="n">
        <f aca="false">SUM(B5:B13)</f>
        <v>294.658512396694</v>
      </c>
      <c r="C14" s="16" t="n">
        <f aca="false">SUM(C5:C13)</f>
        <v>639.989834710744</v>
      </c>
      <c r="D14" s="16" t="n">
        <f aca="false">SUM(D5:D13)</f>
        <v>577.913082644628</v>
      </c>
    </row>
    <row r="15" customFormat="false" ht="15" hidden="false" customHeight="false" outlineLevel="0" collapsed="false">
      <c r="A15" s="7" t="s">
        <v>100</v>
      </c>
      <c r="B15" s="12" t="n">
        <f aca="false">B14/B5</f>
        <v>0.183017709563164</v>
      </c>
      <c r="C15" s="12" t="n">
        <f aca="false">C14/C5</f>
        <v>0.18078808890134</v>
      </c>
      <c r="D15" s="12" t="n">
        <f aca="false">D14/D5</f>
        <v>0.181107202333008</v>
      </c>
    </row>
    <row r="16" customFormat="false" ht="15" hidden="false" customHeight="false" outlineLevel="0" collapsed="false">
      <c r="A16" s="7" t="s">
        <v>221</v>
      </c>
      <c r="B16" s="7" t="str">
        <f aca="false">IF(B15&gt;=Vstupy!$B$12-0.001,"OK","POD CÍLEM")</f>
        <v>OK</v>
      </c>
      <c r="C16" s="7" t="str">
        <f aca="false">IF(C15&gt;=Vstupy!$B$12-0.001,"OK","POD CÍLEM")</f>
        <v>OK</v>
      </c>
      <c r="D16" s="7" t="str">
        <f aca="false">IF(D15&gt;=Vstupy!$B$12-0.001,"OK","POD CÍLEM")</f>
        <v>OK</v>
      </c>
    </row>
    <row r="17" customFormat="false" ht="15" hidden="false" customHeight="false" outlineLevel="0" collapsed="false">
      <c r="A17" s="7" t="s">
        <v>222</v>
      </c>
      <c r="B17" s="37" t="n">
        <f aca="false">Balíčky!I7/Balíčky!H7</f>
        <v>300</v>
      </c>
      <c r="C17" s="37" t="n">
        <f aca="false">Balíčky!I10/Balíčky!H10</f>
        <v>300</v>
      </c>
      <c r="D17" s="37" t="n">
        <f aca="false">Balíčky!I15/Balíčky!H15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31.5" hidden="false" customHeight="true" outlineLevel="0" collapsed="false">
      <c r="A4" s="17" t="s">
        <v>225</v>
      </c>
      <c r="B4" s="17" t="s">
        <v>226</v>
      </c>
      <c r="C4" s="17" t="s">
        <v>227</v>
      </c>
      <c r="D4" s="17" t="s">
        <v>228</v>
      </c>
      <c r="E4" s="17" t="s">
        <v>146</v>
      </c>
    </row>
    <row r="5" customFormat="false" ht="15" hidden="false" customHeight="false" outlineLevel="0" collapsed="false">
      <c r="A5" s="4" t="s">
        <v>229</v>
      </c>
      <c r="B5" s="5" t="n">
        <v>100</v>
      </c>
      <c r="C5" s="5" t="n">
        <v>300</v>
      </c>
      <c r="D5" s="5" t="n">
        <v>800</v>
      </c>
    </row>
    <row r="6" customFormat="false" ht="15" hidden="false" customHeight="false" outlineLevel="0" collapsed="false">
      <c r="A6" s="4" t="s">
        <v>230</v>
      </c>
      <c r="B6" s="30" t="n">
        <f aca="false">Ekonomika!$D$14</f>
        <v>577.913082644628</v>
      </c>
      <c r="C6" s="30" t="n">
        <f aca="false">Ekonomika!$D$14</f>
        <v>577.913082644628</v>
      </c>
      <c r="D6" s="30" t="n">
        <f aca="false">Ekonomika!$D$14</f>
        <v>577.913082644628</v>
      </c>
      <c r="E6" s="2" t="s">
        <v>231</v>
      </c>
    </row>
    <row r="7" customFormat="false" ht="15" hidden="false" customHeight="false" outlineLevel="0" collapsed="false">
      <c r="A7" s="4" t="s">
        <v>232</v>
      </c>
      <c r="B7" s="30" t="n">
        <f aca="false">B5*B6</f>
        <v>57791.3082644628</v>
      </c>
      <c r="C7" s="30" t="n">
        <f aca="false">C5*C6</f>
        <v>173373.924793388</v>
      </c>
      <c r="D7" s="30" t="n">
        <f aca="false">D5*D6</f>
        <v>462330.466115702</v>
      </c>
      <c r="E7" s="2"/>
    </row>
    <row r="8" customFormat="false" ht="15" hidden="false" customHeight="false" outlineLevel="0" collapsed="false">
      <c r="A8" s="4" t="s">
        <v>233</v>
      </c>
      <c r="B8" s="38" t="n">
        <f aca="false">B5*0.08</f>
        <v>8</v>
      </c>
      <c r="C8" s="38" t="n">
        <f aca="false">C5*0.08</f>
        <v>24</v>
      </c>
      <c r="D8" s="38" t="n">
        <f aca="false">D5*0.08</f>
        <v>64</v>
      </c>
      <c r="E8" s="2" t="s">
        <v>234</v>
      </c>
    </row>
    <row r="9" customFormat="false" ht="15" hidden="false" customHeight="false" outlineLevel="0" collapsed="false">
      <c r="A9" s="4" t="s">
        <v>235</v>
      </c>
      <c r="B9" s="30" t="n">
        <f aca="false">B8*199*(1-Vstupy!$B$41)</f>
        <v>1315.70247933884</v>
      </c>
      <c r="C9" s="30" t="n">
        <f aca="false">C8*199*(1-Vstupy!$B$41)</f>
        <v>3947.10743801653</v>
      </c>
      <c r="D9" s="30" t="n">
        <f aca="false">D8*199*(1-Vstupy!$B$41)</f>
        <v>10525.6198347107</v>
      </c>
      <c r="E9" s="2" t="s">
        <v>236</v>
      </c>
    </row>
    <row r="10" customFormat="false" ht="15" hidden="false" customHeight="false" outlineLevel="0" collapsed="false">
      <c r="A10" s="7" t="s">
        <v>237</v>
      </c>
      <c r="B10" s="8" t="n">
        <f aca="false">B7+B9</f>
        <v>59107.0107438016</v>
      </c>
      <c r="C10" s="8" t="n">
        <f aca="false">C7+C9</f>
        <v>177321.032231405</v>
      </c>
      <c r="D10" s="8" t="n">
        <f aca="false">D7+D9</f>
        <v>472856.085950413</v>
      </c>
      <c r="E10" s="2"/>
    </row>
    <row r="12" customFormat="false" ht="15" hidden="false" customHeight="false" outlineLevel="0" collapsed="false">
      <c r="A12" s="3" t="s">
        <v>238</v>
      </c>
    </row>
    <row r="13" customFormat="false" ht="31.5" hidden="false" customHeight="true" outlineLevel="0" collapsed="false">
      <c r="A13" s="17" t="s">
        <v>163</v>
      </c>
      <c r="B13" s="17" t="s">
        <v>239</v>
      </c>
      <c r="C13" s="17"/>
      <c r="D13" s="17"/>
      <c r="E13" s="17" t="s">
        <v>146</v>
      </c>
    </row>
    <row r="14" customFormat="false" ht="15" hidden="false" customHeight="false" outlineLevel="0" collapsed="false">
      <c r="A14" s="4" t="s">
        <v>240</v>
      </c>
      <c r="B14" s="32" t="n">
        <v>6000</v>
      </c>
      <c r="E14" s="2" t="s">
        <v>241</v>
      </c>
    </row>
    <row r="15" customFormat="false" ht="15" hidden="false" customHeight="false" outlineLevel="0" collapsed="false">
      <c r="A15" s="4" t="s">
        <v>242</v>
      </c>
      <c r="B15" s="32" t="n">
        <v>1500</v>
      </c>
      <c r="E15" s="2"/>
    </row>
    <row r="16" customFormat="false" ht="15" hidden="false" customHeight="false" outlineLevel="0" collapsed="false">
      <c r="A16" s="4" t="s">
        <v>243</v>
      </c>
      <c r="B16" s="32" t="n">
        <v>300</v>
      </c>
      <c r="E16" s="2" t="s">
        <v>244</v>
      </c>
    </row>
    <row r="17" customFormat="false" ht="15" hidden="false" customHeight="false" outlineLevel="0" collapsed="false">
      <c r="A17" s="4" t="s">
        <v>245</v>
      </c>
      <c r="B17" s="32" t="n">
        <v>5000</v>
      </c>
      <c r="E17" s="2"/>
    </row>
    <row r="18" customFormat="false" ht="15" hidden="false" customHeight="false" outlineLevel="0" collapsed="false">
      <c r="A18" s="4" t="s">
        <v>246</v>
      </c>
      <c r="B18" s="32" t="n">
        <v>8000</v>
      </c>
      <c r="E18" s="2" t="s">
        <v>247</v>
      </c>
    </row>
    <row r="19" customFormat="false" ht="15" hidden="false" customHeight="false" outlineLevel="0" collapsed="false">
      <c r="A19" s="4" t="s">
        <v>248</v>
      </c>
      <c r="B19" s="32" t="n">
        <v>15000</v>
      </c>
      <c r="E19" s="2" t="s">
        <v>249</v>
      </c>
    </row>
    <row r="20" customFormat="false" ht="15" hidden="false" customHeight="false" outlineLevel="0" collapsed="false">
      <c r="A20" s="4" t="s">
        <v>250</v>
      </c>
      <c r="B20" s="32" t="n">
        <v>25000</v>
      </c>
      <c r="E20" s="2" t="s">
        <v>251</v>
      </c>
    </row>
    <row r="21" customFormat="false" ht="15" hidden="false" customHeight="false" outlineLevel="0" collapsed="false">
      <c r="A21" s="4" t="s">
        <v>252</v>
      </c>
      <c r="B21" s="32" t="n">
        <v>2500</v>
      </c>
      <c r="E21" s="2"/>
    </row>
    <row r="22" customFormat="false" ht="15" hidden="false" customHeight="false" outlineLevel="0" collapsed="false">
      <c r="A22" s="7" t="s">
        <v>253</v>
      </c>
      <c r="B22" s="8" t="n">
        <f aca="false">SUM(B14:B21)</f>
        <v>63300</v>
      </c>
    </row>
    <row r="24" customFormat="false" ht="15" hidden="false" customHeight="false" outlineLevel="0" collapsed="false">
      <c r="A24" s="7" t="s">
        <v>254</v>
      </c>
      <c r="B24" s="8" t="n">
        <f aca="false">B10-$B$22</f>
        <v>-4192.98925619836</v>
      </c>
      <c r="C24" s="8" t="n">
        <f aca="false">C10-$B$22</f>
        <v>114021.032231405</v>
      </c>
      <c r="D24" s="8" t="n">
        <f aca="false">D10-$B$22</f>
        <v>409556.085950413</v>
      </c>
    </row>
    <row r="25" customFormat="false" ht="15" hidden="false" customHeight="false" outlineLevel="0" collapsed="false">
      <c r="A25" s="7" t="s">
        <v>255</v>
      </c>
      <c r="B25" s="39" t="n">
        <f aca="false">ROUNDUP(($B$22)/(B6+199*(1-Vstupy!$B$41)*0.08),0)</f>
        <v>108</v>
      </c>
      <c r="C25" s="39" t="n">
        <f aca="false">ROUNDUP(($B$22)/(C6+199*(1-Vstupy!$B$41)*0.08),0)</f>
        <v>108</v>
      </c>
      <c r="D25" s="39" t="n">
        <f aca="false">ROUNDUP(($B$22)/(D6+199*(1-Vstupy!$B$41)*0.08),0)</f>
        <v>108</v>
      </c>
    </row>
    <row r="26" customFormat="false" ht="15" hidden="false" customHeight="false" outlineLevel="0" collapsed="false">
      <c r="A26" s="4" t="s">
        <v>256</v>
      </c>
      <c r="B26" s="40" t="n">
        <f aca="false">B25/30</f>
        <v>3.6</v>
      </c>
      <c r="C26" s="40" t="n">
        <f aca="false">C25/30</f>
        <v>3.6</v>
      </c>
      <c r="D26" s="40" t="n">
        <f aca="false">D25/30</f>
        <v>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258</v>
      </c>
    </row>
    <row r="4" customFormat="false" ht="31.5" hidden="false" customHeight="true" outlineLevel="0" collapsed="false">
      <c r="A4" s="17" t="s">
        <v>259</v>
      </c>
      <c r="B4" s="17" t="s">
        <v>260</v>
      </c>
      <c r="C4" s="17" t="s">
        <v>261</v>
      </c>
      <c r="D4" s="17" t="s">
        <v>262</v>
      </c>
      <c r="E4" s="17" t="s">
        <v>263</v>
      </c>
    </row>
    <row r="5" customFormat="false" ht="15" hidden="false" customHeight="false" outlineLevel="0" collapsed="false">
      <c r="A5" s="32" t="n">
        <v>250</v>
      </c>
      <c r="B5" s="30" t="n">
        <f aca="false">CEILING((Balíčky!$H$10*A5+Vstupy!$B$36)/(1-(Vstupy!$B$40/(1+Vstupy!$B$40))-Vstupy!$B$35-Vstupy!$B$12),Vstupy!$B$14)</f>
        <v>2990</v>
      </c>
      <c r="C5" s="30" t="n">
        <f aca="false">CEILING((Balíčky!$H$10*A5+Vstupy!$B$36)/(1-Vstupy!$B$35-Vstupy!$B$12),Vstupy!$B$14)</f>
        <v>2270</v>
      </c>
      <c r="D5" s="31" t="n">
        <f aca="false">B5/C5-1</f>
        <v>0.317180616740088</v>
      </c>
      <c r="E5" s="30" t="n">
        <f aca="false">B5/Balíčky!$H$10</f>
        <v>494.896551724138</v>
      </c>
    </row>
    <row r="6" customFormat="false" ht="15" hidden="false" customHeight="false" outlineLevel="0" collapsed="false">
      <c r="A6" s="32" t="n">
        <v>300</v>
      </c>
      <c r="B6" s="30" t="n">
        <f aca="false">CEILING((Balíčky!$H$10*A6+Vstupy!$B$36)/(1-(Vstupy!$B$40/(1+Vstupy!$B$40))-Vstupy!$B$35-Vstupy!$B$12),Vstupy!$B$14)</f>
        <v>3540</v>
      </c>
      <c r="C6" s="30" t="n">
        <f aca="false">CEILING((Balíčky!$H$10*A6+Vstupy!$B$36)/(1-Vstupy!$B$35-Vstupy!$B$12),Vstupy!$B$14)</f>
        <v>2690</v>
      </c>
      <c r="D6" s="31" t="n">
        <f aca="false">B6/C6-1</f>
        <v>0.315985130111524</v>
      </c>
      <c r="E6" s="30" t="n">
        <f aca="false">B6/Balíčky!$H$10</f>
        <v>585.931034482759</v>
      </c>
    </row>
    <row r="7" customFormat="false" ht="15" hidden="false" customHeight="false" outlineLevel="0" collapsed="false">
      <c r="A7" s="32" t="n">
        <v>350</v>
      </c>
      <c r="B7" s="30" t="n">
        <f aca="false">CEILING((Balíčky!$H$10*A7+Vstupy!$B$36)/(1-(Vstupy!$B$40/(1+Vstupy!$B$40))-Vstupy!$B$35-Vstupy!$B$12),Vstupy!$B$14)</f>
        <v>4090</v>
      </c>
      <c r="C7" s="30" t="n">
        <f aca="false">CEILING((Balíčky!$H$10*A7+Vstupy!$B$36)/(1-Vstupy!$B$35-Vstupy!$B$12),Vstupy!$B$14)</f>
        <v>3110</v>
      </c>
      <c r="D7" s="31" t="n">
        <f aca="false">B7/C7-1</f>
        <v>0.315112540192926</v>
      </c>
      <c r="E7" s="30" t="n">
        <f aca="false">B7/Balíčky!$H$10</f>
        <v>676.965517241379</v>
      </c>
    </row>
    <row r="8" customFormat="false" ht="15" hidden="false" customHeight="false" outlineLevel="0" collapsed="false">
      <c r="A8" s="32" t="n">
        <v>400</v>
      </c>
      <c r="B8" s="30" t="n">
        <f aca="false">CEILING((Balíčky!$H$10*A8+Vstupy!$B$36)/(1-(Vstupy!$B$40/(1+Vstupy!$B$40))-Vstupy!$B$35-Vstupy!$B$12),Vstupy!$B$14)</f>
        <v>4640</v>
      </c>
      <c r="C8" s="30" t="n">
        <f aca="false">CEILING((Balíčky!$H$10*A8+Vstupy!$B$36)/(1-Vstupy!$B$35-Vstupy!$B$12),Vstupy!$B$14)</f>
        <v>3530</v>
      </c>
      <c r="D8" s="31" t="n">
        <f aca="false">B8/C8-1</f>
        <v>0.314447592067989</v>
      </c>
      <c r="E8" s="30" t="n">
        <f aca="false">B8/Balíčky!$H$10</f>
        <v>768</v>
      </c>
    </row>
    <row r="10" customFormat="false" ht="15" hidden="false" customHeight="false" outlineLevel="0" collapsed="false">
      <c r="A10" s="3" t="s">
        <v>264</v>
      </c>
    </row>
    <row r="11" customFormat="false" ht="31.5" hidden="false" customHeight="true" outlineLevel="0" collapsed="false">
      <c r="A11" s="17" t="s">
        <v>265</v>
      </c>
      <c r="B11" s="17" t="s">
        <v>266</v>
      </c>
      <c r="C11" s="17" t="s">
        <v>267</v>
      </c>
      <c r="D11" s="17" t="s">
        <v>268</v>
      </c>
    </row>
    <row r="12" customFormat="false" ht="15" hidden="false" customHeight="false" outlineLevel="0" collapsed="false">
      <c r="A12" s="11" t="n">
        <v>0.15</v>
      </c>
      <c r="B12" s="30" t="n">
        <f aca="false">CEILING((Balíčky!$H$10*Vstupy!$B$8+Vstupy!$B$27+Vstupy!$B$32*Vstupy!$B$33+60)/(1-Vstupy!$B$41-Vstupy!$B$35-A12),Vstupy!$B$14)</f>
        <v>3250</v>
      </c>
      <c r="C12" s="30" t="n">
        <f aca="false">CEILING((Balíčky!$H$10*Vstupy!$B$8+Vstupy!$B$27+Vstupy!$B$32*Vstupy!$B$33+120)/(1-Vstupy!$B$41-Vstupy!$B$35-A12),Vstupy!$B$14)</f>
        <v>3360</v>
      </c>
      <c r="D12" s="30" t="n">
        <f aca="false">CEILING((Balíčky!$H$10*Vstupy!$B$8+Vstupy!$B$27+Vstupy!$B$32*Vstupy!$B$33+200)/(1-Vstupy!$B$41-Vstupy!$B$35-A12),Vstupy!$B$14)</f>
        <v>3490</v>
      </c>
    </row>
    <row r="13" customFormat="false" ht="15" hidden="false" customHeight="false" outlineLevel="0" collapsed="false">
      <c r="A13" s="11" t="n">
        <v>0.18</v>
      </c>
      <c r="B13" s="30" t="n">
        <f aca="false">CEILING((Balíčky!$H$10*Vstupy!$B$8+Vstupy!$B$27+Vstupy!$B$32*Vstupy!$B$33+60)/(1-Vstupy!$B$41-Vstupy!$B$35-A13),Vstupy!$B$14)</f>
        <v>3430</v>
      </c>
      <c r="C13" s="30" t="n">
        <f aca="false">CEILING((Balíčky!$H$10*Vstupy!$B$8+Vstupy!$B$27+Vstupy!$B$32*Vstupy!$B$33+120)/(1-Vstupy!$B$41-Vstupy!$B$35-A13),Vstupy!$B$14)</f>
        <v>3540</v>
      </c>
      <c r="D13" s="30" t="n">
        <f aca="false">CEILING((Balíčky!$H$10*Vstupy!$B$8+Vstupy!$B$27+Vstupy!$B$32*Vstupy!$B$33+200)/(1-Vstupy!$B$41-Vstupy!$B$35-A13),Vstupy!$B$14)</f>
        <v>3690</v>
      </c>
    </row>
    <row r="14" customFormat="false" ht="15" hidden="false" customHeight="false" outlineLevel="0" collapsed="false">
      <c r="A14" s="11" t="n">
        <v>0.22</v>
      </c>
      <c r="B14" s="30" t="n">
        <f aca="false">CEILING((Balíčky!$H$10*Vstupy!$B$8+Vstupy!$B$27+Vstupy!$B$32*Vstupy!$B$33+60)/(1-Vstupy!$B$41-Vstupy!$B$35-A14),Vstupy!$B$14)</f>
        <v>3700</v>
      </c>
      <c r="C14" s="30" t="n">
        <f aca="false">CEILING((Balíčky!$H$10*Vstupy!$B$8+Vstupy!$B$27+Vstupy!$B$32*Vstupy!$B$33+120)/(1-Vstupy!$B$41-Vstupy!$B$35-A14),Vstupy!$B$14)</f>
        <v>3820</v>
      </c>
      <c r="D14" s="30" t="n">
        <f aca="false">CEILING((Balíčky!$H$10*Vstupy!$B$8+Vstupy!$B$27+Vstupy!$B$32*Vstupy!$B$33+200)/(1-Vstupy!$B$41-Vstupy!$B$35-A14),Vstupy!$B$14)</f>
        <v>3970</v>
      </c>
    </row>
    <row r="15" customFormat="false" ht="15" hidden="false" customHeight="false" outlineLevel="0" collapsed="false">
      <c r="A15" s="11" t="n">
        <v>0.25</v>
      </c>
      <c r="B15" s="30" t="n">
        <f aca="false">CEILING((Balíčky!$H$10*Vstupy!$B$8+Vstupy!$B$27+Vstupy!$B$32*Vstupy!$B$33+60)/(1-Vstupy!$B$41-Vstupy!$B$35-A15),Vstupy!$B$14)</f>
        <v>3930</v>
      </c>
      <c r="C15" s="30" t="n">
        <f aca="false">CEILING((Balíčky!$H$10*Vstupy!$B$8+Vstupy!$B$27+Vstupy!$B$32*Vstupy!$B$33+120)/(1-Vstupy!$B$41-Vstupy!$B$35-A15),Vstupy!$B$14)</f>
        <v>4060</v>
      </c>
      <c r="D15" s="30" t="n">
        <f aca="false">CEILING((Balíčky!$H$10*Vstupy!$B$8+Vstupy!$B$27+Vstupy!$B$32*Vstupy!$B$33+200)/(1-Vstupy!$B$41-Vstupy!$B$35-A15),Vstupy!$B$14)</f>
        <v>4220</v>
      </c>
    </row>
    <row r="17" customFormat="false" ht="15" hidden="false" customHeight="false" outlineLevel="0" collapsed="false">
      <c r="A17" s="2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4" customFormat="false" ht="31.5" hidden="false" customHeight="true" outlineLevel="0" collapsed="false">
      <c r="A4" s="17" t="s">
        <v>272</v>
      </c>
      <c r="B4" s="17" t="s">
        <v>273</v>
      </c>
      <c r="C4" s="17" t="s">
        <v>112</v>
      </c>
      <c r="D4" s="17" t="s">
        <v>85</v>
      </c>
      <c r="E4" s="17" t="s">
        <v>114</v>
      </c>
      <c r="F4" s="17" t="s">
        <v>274</v>
      </c>
      <c r="G4" s="17" t="s">
        <v>121</v>
      </c>
      <c r="H4" s="17" t="s">
        <v>275</v>
      </c>
    </row>
    <row r="5" customFormat="false" ht="15" hidden="false" customHeight="false" outlineLevel="0" collapsed="false">
      <c r="A5" s="27" t="s">
        <v>276</v>
      </c>
      <c r="B5" s="6" t="n">
        <v>50</v>
      </c>
      <c r="C5" s="29" t="n">
        <f aca="false">B5*Vstupy!$B$22/60</f>
        <v>4.16666666666667</v>
      </c>
      <c r="D5" s="30" t="n">
        <f aca="false">C5*Vstupy!$B$8</f>
        <v>1250</v>
      </c>
      <c r="E5" s="16" t="n">
        <f aca="false">MAX(CEILING((D5+Vstupy!$B$36)/Vstupy!$B$45,Vstupy!$B$14),Vstupy!$B$13)</f>
        <v>2520</v>
      </c>
      <c r="F5" s="32" t="n">
        <v>3000</v>
      </c>
      <c r="G5" s="31" t="n">
        <f aca="false">E5/F5-1</f>
        <v>-0.16</v>
      </c>
      <c r="H5" s="27" t="str">
        <f aca="false">IF(F5&lt;D5,"Původní cena nepokryla ani uklízečku","Původní cena byla nad novou")</f>
        <v>Původní cena byla nad novou</v>
      </c>
    </row>
    <row r="6" customFormat="false" ht="15" hidden="false" customHeight="false" outlineLevel="0" collapsed="false">
      <c r="A6" s="27" t="s">
        <v>277</v>
      </c>
      <c r="B6" s="6" t="n">
        <v>75</v>
      </c>
      <c r="C6" s="29" t="n">
        <f aca="false">B6*Vstupy!$B$22/60</f>
        <v>6.25</v>
      </c>
      <c r="D6" s="30" t="n">
        <f aca="false">C6*Vstupy!$B$8</f>
        <v>1875</v>
      </c>
      <c r="E6" s="16" t="n">
        <f aca="false">MAX(CEILING((D6+Vstupy!$B$36)/Vstupy!$B$45,Vstupy!$B$14),Vstupy!$B$13)</f>
        <v>3650</v>
      </c>
      <c r="F6" s="32" t="n">
        <v>4125</v>
      </c>
      <c r="G6" s="31" t="n">
        <f aca="false">E6/F6-1</f>
        <v>-0.115151515151515</v>
      </c>
      <c r="H6" s="27" t="str">
        <f aca="false">IF(F6&lt;D6,"Původní cena nepokryla ani uklízečku","Původní cena byla nad novou")</f>
        <v>Původní cena byla nad novou</v>
      </c>
    </row>
    <row r="7" customFormat="false" ht="15" hidden="false" customHeight="false" outlineLevel="0" collapsed="false">
      <c r="A7" s="27" t="s">
        <v>278</v>
      </c>
      <c r="B7" s="6" t="n">
        <v>150</v>
      </c>
      <c r="C7" s="29" t="n">
        <f aca="false">B7*Vstupy!$B$22/60</f>
        <v>12.5</v>
      </c>
      <c r="D7" s="30" t="n">
        <f aca="false">C7*Vstupy!$B$8</f>
        <v>3750</v>
      </c>
      <c r="E7" s="16" t="n">
        <f aca="false">MAX(CEILING((D7+Vstupy!$B$36)/Vstupy!$B$45,Vstupy!$B$14),Vstupy!$B$13)</f>
        <v>7070</v>
      </c>
      <c r="F7" s="32" t="n">
        <v>7500</v>
      </c>
      <c r="G7" s="31" t="n">
        <f aca="false">E7/F7-1</f>
        <v>-0.0573333333333334</v>
      </c>
      <c r="H7" s="27" t="str">
        <f aca="false">IF(F7&lt;D7,"Původní cena nepokryla ani uklízečku","Původní cena byla nad novou")</f>
        <v>Původní cena byla nad novou</v>
      </c>
    </row>
    <row r="8" customFormat="false" ht="15" hidden="false" customHeight="false" outlineLevel="0" collapsed="false">
      <c r="A8" s="27" t="s">
        <v>279</v>
      </c>
      <c r="B8" s="6" t="n">
        <v>50</v>
      </c>
      <c r="C8" s="29" t="n">
        <f aca="false">B8*Vstupy!$B$21/60</f>
        <v>2.5</v>
      </c>
      <c r="D8" s="30" t="n">
        <f aca="false">C8*Vstupy!$B$8</f>
        <v>750</v>
      </c>
      <c r="E8" s="16" t="n">
        <f aca="false">MAX(CEILING((D8+Vstupy!$B$36)/Vstupy!$B$45,Vstupy!$B$14),Vstupy!$B$13)</f>
        <v>1610</v>
      </c>
      <c r="F8" s="32" t="n">
        <v>180</v>
      </c>
      <c r="G8" s="31" t="n">
        <f aca="false">E8/F8-1</f>
        <v>7.94444444444445</v>
      </c>
      <c r="H8" s="27" t="str">
        <f aca="false">IF(F8&lt;D8,"Původní cena nepokryla ani uklízečku","Původní cena byla nad novou")</f>
        <v>Původní cena nepokryla ani uklízečku</v>
      </c>
    </row>
    <row r="9" customFormat="false" ht="15" hidden="false" customHeight="false" outlineLevel="0" collapsed="false">
      <c r="A9" s="27" t="s">
        <v>280</v>
      </c>
      <c r="B9" s="6" t="n">
        <v>75</v>
      </c>
      <c r="C9" s="29" t="n">
        <f aca="false">B9*Vstupy!$B$21/60</f>
        <v>3.75</v>
      </c>
      <c r="D9" s="30" t="n">
        <f aca="false">C9*Vstupy!$B$8</f>
        <v>1125</v>
      </c>
      <c r="E9" s="16" t="n">
        <f aca="false">MAX(CEILING((D9+Vstupy!$B$36)/Vstupy!$B$45,Vstupy!$B$14),Vstupy!$B$13)</f>
        <v>2290</v>
      </c>
      <c r="F9" s="32" t="n">
        <v>277.5</v>
      </c>
      <c r="G9" s="31" t="n">
        <f aca="false">E9/F9-1</f>
        <v>7.25225225225225</v>
      </c>
      <c r="H9" s="27" t="str">
        <f aca="false">IF(F9&lt;D9,"Původní cena nepokryla ani uklízečku","Původní cena byla nad novou")</f>
        <v>Původní cena nepokryla ani uklízečku</v>
      </c>
    </row>
    <row r="10" customFormat="false" ht="15" hidden="false" customHeight="false" outlineLevel="0" collapsed="false">
      <c r="A10" s="27" t="s">
        <v>281</v>
      </c>
      <c r="B10" s="6" t="n">
        <v>150</v>
      </c>
      <c r="C10" s="29" t="n">
        <f aca="false">B10*Vstupy!$B$21/60</f>
        <v>7.5</v>
      </c>
      <c r="D10" s="30" t="n">
        <f aca="false">C10*Vstupy!$B$8</f>
        <v>2250</v>
      </c>
      <c r="E10" s="16" t="n">
        <f aca="false">MAX(CEILING((D10+Vstupy!$B$36)/Vstupy!$B$45,Vstupy!$B$14),Vstupy!$B$13)</f>
        <v>4340</v>
      </c>
      <c r="F10" s="32" t="n">
        <v>490</v>
      </c>
      <c r="G10" s="31" t="n">
        <f aca="false">E10/F10-1</f>
        <v>7.85714285714286</v>
      </c>
      <c r="H10" s="27" t="str">
        <f aca="false">IF(F10&lt;D10,"Původní cena nepokryla ani uklízečku","Původní cena byla nad novou")</f>
        <v>Původní cena nepokryla ani uklízečku</v>
      </c>
    </row>
    <row r="11" customFormat="false" ht="15" hidden="false" customHeight="false" outlineLevel="0" collapsed="false">
      <c r="A11" s="27" t="s">
        <v>282</v>
      </c>
      <c r="B11" s="6" t="n">
        <v>50</v>
      </c>
      <c r="C11" s="29" t="n">
        <f aca="false">B11*Vstupy!$B$21/60</f>
        <v>2.5</v>
      </c>
      <c r="D11" s="30" t="n">
        <f aca="false">C11*Vstupy!$B$8</f>
        <v>750</v>
      </c>
      <c r="E11" s="16" t="n">
        <f aca="false">MAX(CEILING((D11+Vstupy!$B$36)/Vstupy!$B$45,Vstupy!$B$14),Vstupy!$B$13)</f>
        <v>1610</v>
      </c>
      <c r="F11" s="32" t="n">
        <v>210</v>
      </c>
      <c r="G11" s="31" t="n">
        <f aca="false">E11/F11-1</f>
        <v>6.66666666666667</v>
      </c>
      <c r="H11" s="27" t="str">
        <f aca="false">IF(F11&lt;D11,"Původní cena nepokryla ani uklízečku","Původní cena byla nad novou")</f>
        <v>Původní cena nepokryla ani uklízečku</v>
      </c>
    </row>
    <row r="12" customFormat="false" ht="15" hidden="false" customHeight="false" outlineLevel="0" collapsed="false">
      <c r="A12" s="27" t="s">
        <v>283</v>
      </c>
      <c r="B12" s="6" t="n">
        <v>75</v>
      </c>
      <c r="C12" s="29" t="n">
        <f aca="false">B12*Vstupy!$B$21/60</f>
        <v>3.75</v>
      </c>
      <c r="D12" s="30" t="n">
        <f aca="false">C12*Vstupy!$B$8</f>
        <v>1125</v>
      </c>
      <c r="E12" s="16" t="n">
        <f aca="false">MAX(CEILING((D12+Vstupy!$B$36)/Vstupy!$B$45,Vstupy!$B$14),Vstupy!$B$13)</f>
        <v>2290</v>
      </c>
      <c r="F12" s="32" t="n">
        <v>307.5</v>
      </c>
      <c r="G12" s="31" t="n">
        <f aca="false">E12/F12-1</f>
        <v>6.44715447154472</v>
      </c>
      <c r="H12" s="27" t="str">
        <f aca="false">IF(F12&lt;D12,"Původní cena nepokryla ani uklízečku","Původní cena byla nad novou")</f>
        <v>Původní cena nepokryla ani uklízečku</v>
      </c>
    </row>
    <row r="13" customFormat="false" ht="15" hidden="false" customHeight="false" outlineLevel="0" collapsed="false">
      <c r="A13" s="27" t="s">
        <v>284</v>
      </c>
      <c r="B13" s="6" t="n">
        <v>150</v>
      </c>
      <c r="C13" s="29" t="n">
        <f aca="false">B13*Vstupy!$B$21/60</f>
        <v>7.5</v>
      </c>
      <c r="D13" s="30" t="n">
        <f aca="false">C13*Vstupy!$B$8</f>
        <v>2250</v>
      </c>
      <c r="E13" s="16" t="n">
        <f aca="false">MAX(CEILING((D13+Vstupy!$B$36)/Vstupy!$B$45,Vstupy!$B$14),Vstupy!$B$13)</f>
        <v>4340</v>
      </c>
      <c r="F13" s="32" t="n">
        <v>525</v>
      </c>
      <c r="G13" s="31" t="n">
        <f aca="false">E13/F13-1</f>
        <v>7.26666666666667</v>
      </c>
      <c r="H13" s="27" t="str">
        <f aca="false">IF(F13&lt;D13,"Původní cena nepokryla ani uklízečku","Původní cena byla nad novou")</f>
        <v>Původní cena nepokryla ani uklízečku</v>
      </c>
    </row>
    <row r="15" customFormat="false" ht="15" hidden="false" customHeight="false" outlineLevel="0" collapsed="false">
      <c r="A15" s="2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2026-09-18T18:59:37Z</dcterms:created>
  <dc:creator>openpyxl</dc:creator>
  <dc:description/>
  <dc:language>en-US</dc:language>
  <cp:lastModifiedBy/>
  <dcterms:modified xsi:type="dcterms:W3CDTF">2026-09-18T18:59:37Z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